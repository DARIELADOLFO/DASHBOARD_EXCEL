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rie\Downloads\Curso de Excel y PowerBI-Analisis de datos\Excel\Recursos Excel Proyecto 1\"/>
    </mc:Choice>
  </mc:AlternateContent>
  <xr:revisionPtr revIDLastSave="0" documentId="13_ncr:1_{1F62BC1C-2701-45F3-A664-E44F3A1B5D94}" xr6:coauthVersionLast="47" xr6:coauthVersionMax="47" xr10:uidLastSave="{00000000-0000-0000-0000-000000000000}"/>
  <bookViews>
    <workbookView xWindow="28680" yWindow="-120" windowWidth="24240" windowHeight="13020" activeTab="2" xr2:uid="{00000000-000D-0000-FFFF-FFFF00000000}"/>
  </bookViews>
  <sheets>
    <sheet name="Ventas_Datos" sheetId="1" r:id="rId1"/>
    <sheet name="TD_Ventas" sheetId="4" r:id="rId2"/>
    <sheet name="Informe_Vestas" sheetId="6" r:id="rId3"/>
  </sheets>
  <definedNames>
    <definedName name="SegmentaciónDeDatos_Producto">#N/A</definedName>
    <definedName name="SegmentaciónDeDatos_Producto1">#N/A</definedName>
    <definedName name="SegmentaciónDeDatos_Region">#N/A</definedName>
    <definedName name="SegmentaciónDeDatos_Region1">#N/A</definedName>
    <definedName name="SegmentaciónDeDatos_Vendedor">#N/A</definedName>
    <definedName name="SegmentaciónDeDatos_Vendedor1">#N/A</definedName>
    <definedName name="SegmentaciónDeDatos_Vendedor2">#N/A</definedName>
  </definedNames>
  <calcPr calcId="191029"/>
  <pivotCaches>
    <pivotCache cacheId="0" r:id="rId4"/>
    <pivotCache cacheId="1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1" l="1"/>
</calcChain>
</file>

<file path=xl/sharedStrings.xml><?xml version="1.0" encoding="utf-8"?>
<sst xmlns="http://schemas.openxmlformats.org/spreadsheetml/2006/main" count="146" uniqueCount="23">
  <si>
    <t>Region</t>
  </si>
  <si>
    <t>Producto</t>
  </si>
  <si>
    <t>Vendedor</t>
  </si>
  <si>
    <t>Ventas</t>
  </si>
  <si>
    <t>Accesorios</t>
  </si>
  <si>
    <t>Dispositivos</t>
  </si>
  <si>
    <t>Sistemas</t>
  </si>
  <si>
    <t>Total general</t>
  </si>
  <si>
    <t>Suma de Ventas</t>
  </si>
  <si>
    <t>Total</t>
  </si>
  <si>
    <t>Etiquetas de fila</t>
  </si>
  <si>
    <t>Francisco J. Valdez</t>
  </si>
  <si>
    <t>Yefri A. Perez</t>
  </si>
  <si>
    <t>Marcos A. Marte</t>
  </si>
  <si>
    <t>Dariel A. Peña</t>
  </si>
  <si>
    <t>Luis Santos</t>
  </si>
  <si>
    <t>Jhon F. Fermin</t>
  </si>
  <si>
    <t>Santo Domingo</t>
  </si>
  <si>
    <t>Dajabon</t>
  </si>
  <si>
    <t>La Romana</t>
  </si>
  <si>
    <t xml:space="preserve"> Ventas</t>
  </si>
  <si>
    <t>Máx. de Ventas</t>
  </si>
  <si>
    <t>Informe de Ventas del Ministerio de Defensa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</si>
</sst>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&quot;$&quot;* #,##0.00_);_(&quot;$&quot;* \(#,##0.00\);_(&quot;$&quot;* &quot;-&quot;??_);_(@_)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_([$$-1C0A]* #,##0_);_([$$-1C0A]* \(#,##0\);_([$$-1C0A]* &quot;-&quot;_);_(@_)"/>
  </numFmts>
  <fonts count="8" x14ac:knownFonts="1">
    <font>
      <sz val="11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sz val="14"/>
      <color theme="1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b/>
      <sz val="24"/>
      <color rgb="FFFF0000"/>
      <name val="Century Gothic"/>
      <family val="2"/>
      <scheme val="minor"/>
    </font>
    <font>
      <b/>
      <sz val="28"/>
      <color theme="0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pivotButton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7" fontId="0" fillId="0" borderId="0" xfId="0" applyNumberFormat="1"/>
    <xf numFmtId="0" fontId="1" fillId="0" borderId="0" xfId="0" pivotButton="1" applyFont="1"/>
    <xf numFmtId="0" fontId="1" fillId="0" borderId="0" xfId="0" applyFont="1"/>
    <xf numFmtId="0" fontId="2" fillId="0" borderId="0" xfId="0" pivotButton="1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5" fillId="2" borderId="1" xfId="0" applyFont="1" applyFill="1" applyBorder="1"/>
    <xf numFmtId="0" fontId="4" fillId="2" borderId="1" xfId="0" applyFont="1" applyFill="1" applyBorder="1" applyAlignment="1">
      <alignment horizontal="left"/>
    </xf>
    <xf numFmtId="167" fontId="4" fillId="2" borderId="1" xfId="0" applyNumberFormat="1" applyFont="1" applyFill="1" applyBorder="1"/>
    <xf numFmtId="0" fontId="4" fillId="2" borderId="0" xfId="0" applyFont="1" applyFill="1"/>
    <xf numFmtId="0" fontId="7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1">
    <cellStyle name="Normal" xfId="0" builtinId="0"/>
  </cellStyles>
  <dxfs count="1005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numFmt numFmtId="167" formatCode="_([$$-1C0A]* #,##0_);_([$$-1C0A]* \(#,##0\);_([$$-1C0A]* &quot;-&quot;_);_(@_)"/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ill>
        <patternFill>
          <bgColor theme="2" tint="0.79998168889431442"/>
        </patternFill>
      </fill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</dxfs>
  <tableStyles count="1" defaultTableStyle="TableStyleMedium2" defaultPivotStyle="PivotStyleLight16">
    <tableStyle name="Invisible" pivot="0" table="0" count="0" xr9:uid="{DBF40AF9-41BE-4361-91CC-6A723452949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2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5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4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[Ventas.Complementario.xlsm]TD_Ventas!TD.VENTAS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D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D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TD_Ventas!$E$1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TD_Ventas!$B$2:$D$29</c:f>
              <c:multiLvlStrCache>
                <c:ptCount val="18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  <c:pt idx="9">
                    <c:v>Accesorios</c:v>
                  </c:pt>
                  <c:pt idx="10">
                    <c:v>Dispositivos</c:v>
                  </c:pt>
                  <c:pt idx="11">
                    <c:v>Sistemas</c:v>
                  </c:pt>
                  <c:pt idx="12">
                    <c:v>Accesorios</c:v>
                  </c:pt>
                  <c:pt idx="13">
                    <c:v>Dispositivos</c:v>
                  </c:pt>
                  <c:pt idx="14">
                    <c:v>Sistemas</c:v>
                  </c:pt>
                  <c:pt idx="15">
                    <c:v>Accesorios</c:v>
                  </c:pt>
                  <c:pt idx="16">
                    <c:v>Dispositivos</c:v>
                  </c:pt>
                  <c:pt idx="17">
                    <c:v>Sistemas</c:v>
                  </c:pt>
                </c:lvl>
                <c:lvl>
                  <c:pt idx="0">
                    <c:v>Francisco J. Valdez</c:v>
                  </c:pt>
                  <c:pt idx="3">
                    <c:v>Yefri A. Perez</c:v>
                  </c:pt>
                  <c:pt idx="6">
                    <c:v>Marcos A. Marte</c:v>
                  </c:pt>
                  <c:pt idx="9">
                    <c:v>Luis Santos</c:v>
                  </c:pt>
                  <c:pt idx="12">
                    <c:v>Dariel A. Peña</c:v>
                  </c:pt>
                  <c:pt idx="15">
                    <c:v>Jhon F. Fermin</c:v>
                  </c:pt>
                </c:lvl>
                <c:lvl>
                  <c:pt idx="0">
                    <c:v>Santo Domingo</c:v>
                  </c:pt>
                  <c:pt idx="6">
                    <c:v>Dajabon</c:v>
                  </c:pt>
                  <c:pt idx="12">
                    <c:v>La Romana</c:v>
                  </c:pt>
                </c:lvl>
              </c:multiLvlStrCache>
            </c:multiLvlStrRef>
          </c:cat>
          <c:val>
            <c:numRef>
              <c:f>TD_Ventas!$E$2:$E$29</c:f>
              <c:numCache>
                <c:formatCode>General</c:formatCode>
                <c:ptCount val="18"/>
                <c:pt idx="0">
                  <c:v>8287</c:v>
                </c:pt>
                <c:pt idx="1">
                  <c:v>121420</c:v>
                </c:pt>
                <c:pt idx="2">
                  <c:v>20098</c:v>
                </c:pt>
                <c:pt idx="3">
                  <c:v>76909</c:v>
                </c:pt>
                <c:pt idx="4">
                  <c:v>12948</c:v>
                </c:pt>
                <c:pt idx="5">
                  <c:v>30633</c:v>
                </c:pt>
                <c:pt idx="6">
                  <c:v>9323</c:v>
                </c:pt>
                <c:pt idx="7">
                  <c:v>10348</c:v>
                </c:pt>
                <c:pt idx="8">
                  <c:v>13531</c:v>
                </c:pt>
                <c:pt idx="9">
                  <c:v>77667</c:v>
                </c:pt>
                <c:pt idx="10">
                  <c:v>9312</c:v>
                </c:pt>
                <c:pt idx="11">
                  <c:v>13374</c:v>
                </c:pt>
                <c:pt idx="12">
                  <c:v>94744</c:v>
                </c:pt>
                <c:pt idx="13">
                  <c:v>10711</c:v>
                </c:pt>
                <c:pt idx="14">
                  <c:v>132855</c:v>
                </c:pt>
                <c:pt idx="15">
                  <c:v>5442</c:v>
                </c:pt>
                <c:pt idx="16">
                  <c:v>8780</c:v>
                </c:pt>
                <c:pt idx="17">
                  <c:v>53151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BB-44D1-A43B-0019E03BA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9159103"/>
        <c:axId val="599153343"/>
      </c:barChart>
      <c:catAx>
        <c:axId val="599159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DO"/>
          </a:p>
        </c:txPr>
        <c:crossAx val="599153343"/>
        <c:crosses val="autoZero"/>
        <c:auto val="1"/>
        <c:lblAlgn val="ctr"/>
        <c:lblOffset val="100"/>
        <c:noMultiLvlLbl val="0"/>
      </c:catAx>
      <c:valAx>
        <c:axId val="59915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DO"/>
          </a:p>
        </c:txPr>
        <c:crossAx val="599159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D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DO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[Ventas.Complementario.xlsm]TD_Ventas!TablaDinámica3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D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D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98000"/>
                  <a:hueMod val="94000"/>
                  <a:satMod val="130000"/>
                  <a:lumMod val="128000"/>
                </a:schemeClr>
              </a:gs>
              <a:gs pos="100000">
                <a:schemeClr val="accent1">
                  <a:shade val="94000"/>
                  <a:lumMod val="88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D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TD_Ventas!$K$1:$K$2</c:f>
              <c:strCache>
                <c:ptCount val="1"/>
                <c:pt idx="0">
                  <c:v>Accesorios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1">
                    <a:shade val="94000"/>
                    <a:lumMod val="8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  <c:invertIfNegative val="0"/>
          <c:cat>
            <c:multiLvlStrRef>
              <c:f>TD_Ventas!$I$3:$J$12</c:f>
              <c:multiLvlStrCache>
                <c:ptCount val="6"/>
                <c:lvl>
                  <c:pt idx="0">
                    <c:v>Francisco J. Valdez</c:v>
                  </c:pt>
                  <c:pt idx="1">
                    <c:v>Yefri A. Perez</c:v>
                  </c:pt>
                  <c:pt idx="2">
                    <c:v>Marcos A. Marte</c:v>
                  </c:pt>
                  <c:pt idx="3">
                    <c:v>Luis Santos</c:v>
                  </c:pt>
                  <c:pt idx="4">
                    <c:v>Dariel A. Peña</c:v>
                  </c:pt>
                  <c:pt idx="5">
                    <c:v>Jhon F. Fermin</c:v>
                  </c:pt>
                </c:lvl>
                <c:lvl>
                  <c:pt idx="0">
                    <c:v>Santo Domingo</c:v>
                  </c:pt>
                  <c:pt idx="2">
                    <c:v>Dajabon</c:v>
                  </c:pt>
                  <c:pt idx="4">
                    <c:v>La Romana</c:v>
                  </c:pt>
                </c:lvl>
              </c:multiLvlStrCache>
            </c:multiLvlStrRef>
          </c:cat>
          <c:val>
            <c:numRef>
              <c:f>TD_Ventas!$K$3:$K$12</c:f>
              <c:numCache>
                <c:formatCode>General</c:formatCode>
                <c:ptCount val="6"/>
                <c:pt idx="0">
                  <c:v>8287</c:v>
                </c:pt>
                <c:pt idx="1">
                  <c:v>76909</c:v>
                </c:pt>
                <c:pt idx="2">
                  <c:v>9323</c:v>
                </c:pt>
                <c:pt idx="3">
                  <c:v>77667</c:v>
                </c:pt>
                <c:pt idx="4">
                  <c:v>94744</c:v>
                </c:pt>
                <c:pt idx="5">
                  <c:v>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C-4078-909E-729A052B41A3}"/>
            </c:ext>
          </c:extLst>
        </c:ser>
        <c:ser>
          <c:idx val="1"/>
          <c:order val="1"/>
          <c:tx>
            <c:strRef>
              <c:f>TD_Ventas!$L$1:$L$2</c:f>
              <c:strCache>
                <c:ptCount val="1"/>
                <c:pt idx="0">
                  <c:v>Dispositivos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2">
                    <a:shade val="94000"/>
                    <a:lumMod val="8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  <c:invertIfNegative val="0"/>
          <c:cat>
            <c:multiLvlStrRef>
              <c:f>TD_Ventas!$I$3:$J$12</c:f>
              <c:multiLvlStrCache>
                <c:ptCount val="6"/>
                <c:lvl>
                  <c:pt idx="0">
                    <c:v>Francisco J. Valdez</c:v>
                  </c:pt>
                  <c:pt idx="1">
                    <c:v>Yefri A. Perez</c:v>
                  </c:pt>
                  <c:pt idx="2">
                    <c:v>Marcos A. Marte</c:v>
                  </c:pt>
                  <c:pt idx="3">
                    <c:v>Luis Santos</c:v>
                  </c:pt>
                  <c:pt idx="4">
                    <c:v>Dariel A. Peña</c:v>
                  </c:pt>
                  <c:pt idx="5">
                    <c:v>Jhon F. Fermin</c:v>
                  </c:pt>
                </c:lvl>
                <c:lvl>
                  <c:pt idx="0">
                    <c:v>Santo Domingo</c:v>
                  </c:pt>
                  <c:pt idx="2">
                    <c:v>Dajabon</c:v>
                  </c:pt>
                  <c:pt idx="4">
                    <c:v>La Romana</c:v>
                  </c:pt>
                </c:lvl>
              </c:multiLvlStrCache>
            </c:multiLvlStrRef>
          </c:cat>
          <c:val>
            <c:numRef>
              <c:f>TD_Ventas!$L$3:$L$12</c:f>
              <c:numCache>
                <c:formatCode>General</c:formatCode>
                <c:ptCount val="6"/>
                <c:pt idx="0">
                  <c:v>121420</c:v>
                </c:pt>
                <c:pt idx="1">
                  <c:v>12948</c:v>
                </c:pt>
                <c:pt idx="2">
                  <c:v>10348</c:v>
                </c:pt>
                <c:pt idx="3">
                  <c:v>9312</c:v>
                </c:pt>
                <c:pt idx="4">
                  <c:v>10711</c:v>
                </c:pt>
                <c:pt idx="5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9C-4078-909E-729A052B41A3}"/>
            </c:ext>
          </c:extLst>
        </c:ser>
        <c:ser>
          <c:idx val="2"/>
          <c:order val="2"/>
          <c:tx>
            <c:strRef>
              <c:f>TD_Ventas!$M$1:$M$2</c:f>
              <c:strCache>
                <c:ptCount val="1"/>
                <c:pt idx="0">
                  <c:v>Sistemas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98000"/>
                    <a:hueMod val="94000"/>
                    <a:satMod val="130000"/>
                    <a:lumMod val="128000"/>
                  </a:schemeClr>
                </a:gs>
                <a:gs pos="100000">
                  <a:schemeClr val="accent3">
                    <a:shade val="94000"/>
                    <a:lumMod val="8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/>
            </a:scene3d>
            <a:sp3d prstMaterial="plastic">
              <a:bevelT w="25400" h="25400"/>
            </a:sp3d>
          </c:spPr>
          <c:invertIfNegative val="0"/>
          <c:cat>
            <c:multiLvlStrRef>
              <c:f>TD_Ventas!$I$3:$J$12</c:f>
              <c:multiLvlStrCache>
                <c:ptCount val="6"/>
                <c:lvl>
                  <c:pt idx="0">
                    <c:v>Francisco J. Valdez</c:v>
                  </c:pt>
                  <c:pt idx="1">
                    <c:v>Yefri A. Perez</c:v>
                  </c:pt>
                  <c:pt idx="2">
                    <c:v>Marcos A. Marte</c:v>
                  </c:pt>
                  <c:pt idx="3">
                    <c:v>Luis Santos</c:v>
                  </c:pt>
                  <c:pt idx="4">
                    <c:v>Dariel A. Peña</c:v>
                  </c:pt>
                  <c:pt idx="5">
                    <c:v>Jhon F. Fermin</c:v>
                  </c:pt>
                </c:lvl>
                <c:lvl>
                  <c:pt idx="0">
                    <c:v>Santo Domingo</c:v>
                  </c:pt>
                  <c:pt idx="2">
                    <c:v>Dajabon</c:v>
                  </c:pt>
                  <c:pt idx="4">
                    <c:v>La Romana</c:v>
                  </c:pt>
                </c:lvl>
              </c:multiLvlStrCache>
            </c:multiLvlStrRef>
          </c:cat>
          <c:val>
            <c:numRef>
              <c:f>TD_Ventas!$M$3:$M$12</c:f>
              <c:numCache>
                <c:formatCode>General</c:formatCode>
                <c:ptCount val="6"/>
                <c:pt idx="0">
                  <c:v>20098</c:v>
                </c:pt>
                <c:pt idx="1">
                  <c:v>30633</c:v>
                </c:pt>
                <c:pt idx="2">
                  <c:v>13531</c:v>
                </c:pt>
                <c:pt idx="3">
                  <c:v>13374</c:v>
                </c:pt>
                <c:pt idx="4">
                  <c:v>132855</c:v>
                </c:pt>
                <c:pt idx="5">
                  <c:v>53151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9C-4078-909E-729A052B4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58293487"/>
        <c:axId val="458297327"/>
        <c:axId val="0"/>
      </c:bar3DChart>
      <c:catAx>
        <c:axId val="45829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DO"/>
          </a:p>
        </c:txPr>
        <c:crossAx val="458297327"/>
        <c:crosses val="autoZero"/>
        <c:auto val="1"/>
        <c:lblAlgn val="ctr"/>
        <c:lblOffset val="100"/>
        <c:noMultiLvlLbl val="0"/>
      </c:catAx>
      <c:valAx>
        <c:axId val="45829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DO"/>
          </a:p>
        </c:txPr>
        <c:crossAx val="45829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D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D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[Ventas.Complementario.xlsm]Informe_Vestas!TD_Ventas_Region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DO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D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Informe_Vestas!$O$7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50C-4204-920A-BC2122856A8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50C-4204-920A-BC2122856A8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50C-4204-920A-BC2122856A8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D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Informe_Vestas!$N$8:$N$10</c:f>
              <c:strCache>
                <c:ptCount val="3"/>
                <c:pt idx="0">
                  <c:v>Dajabon</c:v>
                </c:pt>
                <c:pt idx="1">
                  <c:v>La Romana</c:v>
                </c:pt>
                <c:pt idx="2">
                  <c:v>Santo Domingo</c:v>
                </c:pt>
              </c:strCache>
            </c:strRef>
          </c:cat>
          <c:val>
            <c:numRef>
              <c:f>Informe_Vestas!$O$8:$O$10</c:f>
              <c:numCache>
                <c:formatCode>_([$$-1C0A]* #,##0_);_([$$-1C0A]* \(#,##0\);_([$$-1C0A]* "-"_);_(@_)</c:formatCode>
                <c:ptCount val="3"/>
                <c:pt idx="0">
                  <c:v>133555</c:v>
                </c:pt>
                <c:pt idx="1">
                  <c:v>305683</c:v>
                </c:pt>
                <c:pt idx="2">
                  <c:v>270295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1E-41C5-BBC6-890A007D65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D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D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[Ventas.Complementario.xlsm]Informe_Vestas!TD.Ventas_Producto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 Producto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DO"/>
        </a:p>
      </c:txPr>
    </c:title>
    <c:autoTitleDeleted val="0"/>
    <c:pivotFmts>
      <c:pivotFmt>
        <c:idx val="0"/>
        <c:spPr>
          <a:ln w="28575" cap="rnd">
            <a:solidFill>
              <a:schemeClr val="accent5"/>
            </a:solidFill>
          </a:ln>
          <a:effectLst>
            <a:glow rad="76200">
              <a:schemeClr val="accent5">
                <a:satMod val="175000"/>
                <a:alpha val="34000"/>
              </a:schemeClr>
            </a:glow>
          </a:effectLst>
        </c:spPr>
        <c:marker>
          <c:symbol val="circle"/>
          <c:size val="4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D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Informe_Vestas!$O$13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</a:ln>
            <a:effectLst>
              <a:glow rad="76200">
                <a:schemeClr val="accent5">
                  <a:satMod val="175000"/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Informe_Vestas!$N$14:$N$16</c:f>
              <c:strCache>
                <c:ptCount val="3"/>
                <c:pt idx="0">
                  <c:v>Accesorios</c:v>
                </c:pt>
                <c:pt idx="1">
                  <c:v>Dispositivos</c:v>
                </c:pt>
                <c:pt idx="2">
                  <c:v>Sistemas</c:v>
                </c:pt>
              </c:strCache>
            </c:strRef>
          </c:cat>
          <c:val>
            <c:numRef>
              <c:f>Informe_Vestas!$O$14:$O$16</c:f>
              <c:numCache>
                <c:formatCode>_([$$-1C0A]* #,##0_);_([$$-1C0A]* \(#,##0\);_([$$-1C0A]* "-"_);_(@_)</c:formatCode>
                <c:ptCount val="3"/>
                <c:pt idx="0">
                  <c:v>272372</c:v>
                </c:pt>
                <c:pt idx="1">
                  <c:v>173519</c:v>
                </c:pt>
                <c:pt idx="2">
                  <c:v>263642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8D-4807-B959-0082BC4F2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680031"/>
        <c:axId val="719671871"/>
      </c:radarChart>
      <c:catAx>
        <c:axId val="719680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DO"/>
          </a:p>
        </c:txPr>
        <c:crossAx val="719671871"/>
        <c:crosses val="autoZero"/>
        <c:auto val="1"/>
        <c:lblAlgn val="ctr"/>
        <c:lblOffset val="100"/>
        <c:noMultiLvlLbl val="0"/>
      </c:catAx>
      <c:valAx>
        <c:axId val="71967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_([$$-1C0A]* #,##0_);_([$$-1C0A]* \(#,##0\);_([$$-1C0A]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DO"/>
          </a:p>
        </c:txPr>
        <c:crossAx val="719680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D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[Ventas.Complementario.xlsm]Informe_Vestas!TD_Ventas_Vendedor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DO"/>
        </a:p>
      </c:txPr>
    </c:title>
    <c:autoTitleDeleted val="0"/>
    <c:pivotFmts>
      <c:pivotFmt>
        <c:idx val="0"/>
        <c:spPr>
          <a:solidFill>
            <a:schemeClr val="accent3">
              <a:alpha val="85000"/>
            </a:schemeClr>
          </a:solidFill>
          <a:ln w="9525" cap="flat" cmpd="sng" algn="ctr">
            <a:solidFill>
              <a:schemeClr val="accent3">
                <a:lumMod val="75000"/>
              </a:schemeClr>
            </a:solidFill>
            <a:round/>
          </a:ln>
          <a:effectLst/>
          <a:sp3d contourW="9525">
            <a:contourClr>
              <a:schemeClr val="accent3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D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Informe_Vestas!$O$19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cat>
            <c:strRef>
              <c:f>Informe_Vestas!$N$20:$N$26</c:f>
              <c:strCache>
                <c:ptCount val="6"/>
                <c:pt idx="0">
                  <c:v>Dariel A. Peña</c:v>
                </c:pt>
                <c:pt idx="1">
                  <c:v>Francisco J. Valdez</c:v>
                </c:pt>
                <c:pt idx="2">
                  <c:v>Jhon F. Fermin</c:v>
                </c:pt>
                <c:pt idx="3">
                  <c:v>Luis Santos</c:v>
                </c:pt>
                <c:pt idx="4">
                  <c:v>Marcos A. Marte</c:v>
                </c:pt>
                <c:pt idx="5">
                  <c:v>Yefri A. Perez</c:v>
                </c:pt>
              </c:strCache>
            </c:strRef>
          </c:cat>
          <c:val>
            <c:numRef>
              <c:f>Informe_Vestas!$O$20:$O$26</c:f>
              <c:numCache>
                <c:formatCode>_([$$-1C0A]* #,##0_);_([$$-1C0A]* \(#,##0\);_([$$-1C0A]* "-"_);_(@_)</c:formatCode>
                <c:ptCount val="6"/>
                <c:pt idx="0">
                  <c:v>238310</c:v>
                </c:pt>
                <c:pt idx="1">
                  <c:v>149805</c:v>
                </c:pt>
                <c:pt idx="2">
                  <c:v>67373</c:v>
                </c:pt>
                <c:pt idx="3">
                  <c:v>100353</c:v>
                </c:pt>
                <c:pt idx="4">
                  <c:v>33202</c:v>
                </c:pt>
                <c:pt idx="5">
                  <c:v>120490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E-4EA0-8D4F-FD23B4CF2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719687231"/>
        <c:axId val="719687711"/>
        <c:axId val="0"/>
      </c:bar3DChart>
      <c:catAx>
        <c:axId val="71968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DO"/>
          </a:p>
        </c:txPr>
        <c:crossAx val="719687711"/>
        <c:crosses val="autoZero"/>
        <c:auto val="1"/>
        <c:lblAlgn val="ctr"/>
        <c:lblOffset val="100"/>
        <c:noMultiLvlLbl val="0"/>
      </c:catAx>
      <c:valAx>
        <c:axId val="71968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1C0A]* #,##0_);_([$$-1C0A]* \(#,##0\);_([$$-1C0A]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DO"/>
          </a:p>
        </c:txPr>
        <c:crossAx val="719687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D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D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319201</xdr:colOff>
      <xdr:row>1</xdr:row>
      <xdr:rowOff>38453</xdr:rowOff>
    </xdr:from>
    <xdr:to>
      <xdr:col>10</xdr:col>
      <xdr:colOff>99967</xdr:colOff>
      <xdr:row>7</xdr:row>
      <xdr:rowOff>13063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Region">
              <a:extLst>
                <a:ext uri="{FF2B5EF4-FFF2-40B4-BE49-F238E27FC236}">
                  <a16:creationId xmlns:a16="http://schemas.microsoft.com/office/drawing/2014/main" id="{A4B80C29-99EA-A4C1-887C-98844359DD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33723" y="245518"/>
              <a:ext cx="1843135" cy="12170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D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339586</xdr:colOff>
      <xdr:row>7</xdr:row>
      <xdr:rowOff>115956</xdr:rowOff>
    </xdr:from>
    <xdr:to>
      <xdr:col>10</xdr:col>
      <xdr:colOff>120352</xdr:colOff>
      <xdr:row>14</xdr:row>
      <xdr:rowOff>35169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Producto">
              <a:extLst>
                <a:ext uri="{FF2B5EF4-FFF2-40B4-BE49-F238E27FC236}">
                  <a16:creationId xmlns:a16="http://schemas.microsoft.com/office/drawing/2014/main" id="{8E899879-2633-63E9-0430-A5B0DD528D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54108" y="1565413"/>
              <a:ext cx="1843135" cy="1368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D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322130</xdr:colOff>
      <xdr:row>14</xdr:row>
      <xdr:rowOff>178586</xdr:rowOff>
    </xdr:from>
    <xdr:to>
      <xdr:col>10</xdr:col>
      <xdr:colOff>107674</xdr:colOff>
      <xdr:row>24</xdr:row>
      <xdr:rowOff>143353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Vendedor">
              <a:extLst>
                <a:ext uri="{FF2B5EF4-FFF2-40B4-BE49-F238E27FC236}">
                  <a16:creationId xmlns:a16="http://schemas.microsoft.com/office/drawing/2014/main" id="{0C1EE57D-06EF-4E10-4B1F-F38EC5C996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36652" y="3077499"/>
              <a:ext cx="1847913" cy="20354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D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971551</xdr:colOff>
      <xdr:row>13</xdr:row>
      <xdr:rowOff>116542</xdr:rowOff>
    </xdr:from>
    <xdr:to>
      <xdr:col>14</xdr:col>
      <xdr:colOff>828676</xdr:colOff>
      <xdr:row>30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FE6C6A8-3AA6-8ADD-7B84-F7569D4F95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47626</xdr:colOff>
      <xdr:row>13</xdr:row>
      <xdr:rowOff>145116</xdr:rowOff>
    </xdr:from>
    <xdr:to>
      <xdr:col>9</xdr:col>
      <xdr:colOff>809626</xdr:colOff>
      <xdr:row>28</xdr:row>
      <xdr:rowOff>123825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D552F8-A847-D577-EA76-80D435C31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9525</xdr:colOff>
      <xdr:row>0</xdr:row>
      <xdr:rowOff>82923</xdr:rowOff>
    </xdr:from>
    <xdr:to>
      <xdr:col>6</xdr:col>
      <xdr:colOff>596713</xdr:colOff>
      <xdr:row>10</xdr:row>
      <xdr:rowOff>115420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Vendedor 1">
              <a:extLst>
                <a:ext uri="{FF2B5EF4-FFF2-40B4-BE49-F238E27FC236}">
                  <a16:creationId xmlns:a16="http://schemas.microsoft.com/office/drawing/2014/main" id="{51A562AC-5666-5BF5-D626-00A5982C4A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0800" y="82923"/>
              <a:ext cx="2444563" cy="24137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D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220579</xdr:colOff>
      <xdr:row>5</xdr:row>
      <xdr:rowOff>144175</xdr:rowOff>
    </xdr:from>
    <xdr:to>
      <xdr:col>1</xdr:col>
      <xdr:colOff>1544554</xdr:colOff>
      <xdr:row>11</xdr:row>
      <xdr:rowOff>36038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Region 1">
              <a:extLst>
                <a:ext uri="{FF2B5EF4-FFF2-40B4-BE49-F238E27FC236}">
                  <a16:creationId xmlns:a16="http://schemas.microsoft.com/office/drawing/2014/main" id="{A0EF8EC9-F188-BC6C-DFD8-68A7442947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579" y="1213308"/>
              <a:ext cx="2159842" cy="12039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D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220579</xdr:colOff>
      <xdr:row>12</xdr:row>
      <xdr:rowOff>13035</xdr:rowOff>
    </xdr:from>
    <xdr:to>
      <xdr:col>1</xdr:col>
      <xdr:colOff>1544554</xdr:colOff>
      <xdr:row>18</xdr:row>
      <xdr:rowOff>22560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roducto 1">
              <a:extLst>
                <a:ext uri="{FF2B5EF4-FFF2-40B4-BE49-F238E27FC236}">
                  <a16:creationId xmlns:a16="http://schemas.microsoft.com/office/drawing/2014/main" id="{CD62B000-B20C-75FE-C95A-CF892E7D5B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579" y="2608112"/>
              <a:ext cx="2159842" cy="13216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D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220579</xdr:colOff>
      <xdr:row>19</xdr:row>
      <xdr:rowOff>33322</xdr:rowOff>
    </xdr:from>
    <xdr:to>
      <xdr:col>1</xdr:col>
      <xdr:colOff>1544554</xdr:colOff>
      <xdr:row>31</xdr:row>
      <xdr:rowOff>179265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Vendedor 2">
              <a:extLst>
                <a:ext uri="{FF2B5EF4-FFF2-40B4-BE49-F238E27FC236}">
                  <a16:creationId xmlns:a16="http://schemas.microsoft.com/office/drawing/2014/main" id="{4F27B900-C18C-1A0D-E0A6-BC420AA20C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579" y="4183501"/>
              <a:ext cx="2159842" cy="27410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D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283744</xdr:colOff>
      <xdr:row>5</xdr:row>
      <xdr:rowOff>131685</xdr:rowOff>
    </xdr:from>
    <xdr:to>
      <xdr:col>7</xdr:col>
      <xdr:colOff>630154</xdr:colOff>
      <xdr:row>16</xdr:row>
      <xdr:rowOff>169947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4FF791C-007C-E4BF-EBB5-443A9ADB9E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125829</xdr:colOff>
      <xdr:row>5</xdr:row>
      <xdr:rowOff>126080</xdr:rowOff>
    </xdr:from>
    <xdr:to>
      <xdr:col>12</xdr:col>
      <xdr:colOff>977565</xdr:colOff>
      <xdr:row>16</xdr:row>
      <xdr:rowOff>140368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20584F1-8446-62E1-0B64-4271DFA3A6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174458</xdr:colOff>
      <xdr:row>17</xdr:row>
      <xdr:rowOff>193934</xdr:rowOff>
    </xdr:from>
    <xdr:to>
      <xdr:col>12</xdr:col>
      <xdr:colOff>968542</xdr:colOff>
      <xdr:row>31</xdr:row>
      <xdr:rowOff>100765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822C878-8D6C-A3C3-A3DB-58B3A63B1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298796</xdr:colOff>
      <xdr:row>0</xdr:row>
      <xdr:rowOff>199404</xdr:rowOff>
    </xdr:from>
    <xdr:to>
      <xdr:col>2</xdr:col>
      <xdr:colOff>361951</xdr:colOff>
      <xdr:row>4</xdr:row>
      <xdr:rowOff>46755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3AD68B9-5256-96BE-2E7C-966D59242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96" y="199404"/>
          <a:ext cx="1653830" cy="68555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el peña vasquez" refreshedDate="45402.932619212967" createdVersion="8" refreshedVersion="8" minRefreshableVersion="3" recordCount="18" xr:uid="{956B3D75-2F7A-4E20-BEE2-9E715CD08249}">
  <cacheSource type="worksheet">
    <worksheetSource name="TablaVentas"/>
  </cacheSource>
  <cacheFields count="4">
    <cacheField name="Region" numFmtId="0">
      <sharedItems count="6">
        <s v="La Romana"/>
        <s v="Santo Domingo"/>
        <s v="Dajabon"/>
        <s v="Este" u="1"/>
        <s v="Central" u="1"/>
        <s v="Oeste" u="1"/>
      </sharedItems>
    </cacheField>
    <cacheField name="Producto" numFmtId="0">
      <sharedItems count="3">
        <s v="Accesorios"/>
        <s v="Dispositivos"/>
        <s v="Sistemas"/>
      </sharedItems>
    </cacheField>
    <cacheField name="Vendedor" numFmtId="0">
      <sharedItems count="12">
        <s v="Jhon F. Fermin"/>
        <s v="Francisco J. Valdez"/>
        <s v="Luis Santos"/>
        <s v="Marcos A. Marte"/>
        <s v="Dariel A. Peña"/>
        <s v="Yefri A. Perez"/>
        <s v="Karen" u="1"/>
        <s v="Lucas" u="1"/>
        <s v="David" u="1"/>
        <s v="Kevin" u="1"/>
        <s v="Sara" u="1"/>
        <s v="Ana" u="1"/>
      </sharedItems>
    </cacheField>
    <cacheField name="Ventas" numFmtId="166">
      <sharedItems containsSemiMixedTypes="0" containsString="0" containsNumber="1" containsInteger="1" minValue="5442" maxValue="132855"/>
    </cacheField>
  </cacheFields>
  <extLst>
    <ext xmlns:x14="http://schemas.microsoft.com/office/spreadsheetml/2009/9/main" uri="{725AE2AE-9491-48be-B2B4-4EB974FC3084}">
      <x14:pivotCacheDefinition pivotCacheId="160425564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el peña vasquez" refreshedDate="45402.932619791667" createdVersion="8" refreshedVersion="8" minRefreshableVersion="3" recordCount="18" xr:uid="{90468D84-FA90-4BE7-AC98-F3F5C08EA001}">
  <cacheSource type="worksheet">
    <worksheetSource name="TablaVentas"/>
  </cacheSource>
  <cacheFields count="4">
    <cacheField name="Region" numFmtId="0">
      <sharedItems count="3">
        <s v="La Romana"/>
        <s v="Santo Domingo"/>
        <s v="Dajabon"/>
      </sharedItems>
    </cacheField>
    <cacheField name="Producto" numFmtId="0">
      <sharedItems count="3">
        <s v="Accesorios"/>
        <s v="Dispositivos"/>
        <s v="Sistemas"/>
      </sharedItems>
    </cacheField>
    <cacheField name="Vendedor" numFmtId="0">
      <sharedItems count="6">
        <s v="Jhon F. Fermin"/>
        <s v="Francisco J. Valdez"/>
        <s v="Luis Santos"/>
        <s v="Marcos A. Marte"/>
        <s v="Dariel A. Peña"/>
        <s v="Yefri A. Perez"/>
      </sharedItems>
    </cacheField>
    <cacheField name="Ventas" numFmtId="166">
      <sharedItems containsSemiMixedTypes="0" containsString="0" containsNumber="1" containsInteger="1" minValue="5442" maxValue="132855"/>
    </cacheField>
  </cacheFields>
  <extLst>
    <ext xmlns:x14="http://schemas.microsoft.com/office/spreadsheetml/2009/9/main" uri="{725AE2AE-9491-48be-B2B4-4EB974FC3084}">
      <x14:pivotCacheDefinition pivotCacheId="915772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5442"/>
  </r>
  <r>
    <x v="1"/>
    <x v="0"/>
    <x v="1"/>
    <n v="8287"/>
  </r>
  <r>
    <x v="0"/>
    <x v="1"/>
    <x v="0"/>
    <n v="8780"/>
  </r>
  <r>
    <x v="2"/>
    <x v="1"/>
    <x v="2"/>
    <n v="9312"/>
  </r>
  <r>
    <x v="2"/>
    <x v="0"/>
    <x v="3"/>
    <n v="9323"/>
  </r>
  <r>
    <x v="2"/>
    <x v="1"/>
    <x v="3"/>
    <n v="10348"/>
  </r>
  <r>
    <x v="0"/>
    <x v="1"/>
    <x v="4"/>
    <n v="10711"/>
  </r>
  <r>
    <x v="1"/>
    <x v="1"/>
    <x v="5"/>
    <n v="12948"/>
  </r>
  <r>
    <x v="2"/>
    <x v="2"/>
    <x v="2"/>
    <n v="13374"/>
  </r>
  <r>
    <x v="2"/>
    <x v="2"/>
    <x v="3"/>
    <n v="13531"/>
  </r>
  <r>
    <x v="1"/>
    <x v="2"/>
    <x v="1"/>
    <n v="20098"/>
  </r>
  <r>
    <x v="0"/>
    <x v="2"/>
    <x v="0"/>
    <n v="53151"/>
  </r>
  <r>
    <x v="2"/>
    <x v="0"/>
    <x v="2"/>
    <n v="77667"/>
  </r>
  <r>
    <x v="1"/>
    <x v="2"/>
    <x v="5"/>
    <n v="30633"/>
  </r>
  <r>
    <x v="1"/>
    <x v="0"/>
    <x v="5"/>
    <n v="76909"/>
  </r>
  <r>
    <x v="0"/>
    <x v="0"/>
    <x v="4"/>
    <n v="94744"/>
  </r>
  <r>
    <x v="1"/>
    <x v="1"/>
    <x v="1"/>
    <n v="121420"/>
  </r>
  <r>
    <x v="0"/>
    <x v="2"/>
    <x v="4"/>
    <n v="1328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5442"/>
  </r>
  <r>
    <x v="1"/>
    <x v="0"/>
    <x v="1"/>
    <n v="8287"/>
  </r>
  <r>
    <x v="0"/>
    <x v="1"/>
    <x v="0"/>
    <n v="8780"/>
  </r>
  <r>
    <x v="2"/>
    <x v="1"/>
    <x v="2"/>
    <n v="9312"/>
  </r>
  <r>
    <x v="2"/>
    <x v="0"/>
    <x v="3"/>
    <n v="9323"/>
  </r>
  <r>
    <x v="2"/>
    <x v="1"/>
    <x v="3"/>
    <n v="10348"/>
  </r>
  <r>
    <x v="0"/>
    <x v="1"/>
    <x v="4"/>
    <n v="10711"/>
  </r>
  <r>
    <x v="1"/>
    <x v="1"/>
    <x v="5"/>
    <n v="12948"/>
  </r>
  <r>
    <x v="2"/>
    <x v="2"/>
    <x v="2"/>
    <n v="13374"/>
  </r>
  <r>
    <x v="2"/>
    <x v="2"/>
    <x v="3"/>
    <n v="13531"/>
  </r>
  <r>
    <x v="1"/>
    <x v="2"/>
    <x v="1"/>
    <n v="20098"/>
  </r>
  <r>
    <x v="0"/>
    <x v="2"/>
    <x v="0"/>
    <n v="53151"/>
  </r>
  <r>
    <x v="2"/>
    <x v="0"/>
    <x v="2"/>
    <n v="77667"/>
  </r>
  <r>
    <x v="1"/>
    <x v="2"/>
    <x v="5"/>
    <n v="30633"/>
  </r>
  <r>
    <x v="1"/>
    <x v="0"/>
    <x v="5"/>
    <n v="76909"/>
  </r>
  <r>
    <x v="0"/>
    <x v="0"/>
    <x v="4"/>
    <n v="94744"/>
  </r>
  <r>
    <x v="1"/>
    <x v="1"/>
    <x v="1"/>
    <n v="121420"/>
  </r>
  <r>
    <x v="0"/>
    <x v="2"/>
    <x v="4"/>
    <n v="1328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4EF40-875A-4ED4-8ABB-5CE2CF824C45}" name="TD.ventas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8:O21" firstHeaderRow="1" firstDataRow="1" firstDataCol="1"/>
  <pivotFields count="4">
    <pivotField axis="axisRow" showAll="0">
      <items count="7">
        <item m="1" x="4"/>
        <item m="1" x="3"/>
        <item m="1" x="5"/>
        <item x="1"/>
        <item x="2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>
      <items count="13">
        <item m="1" x="11"/>
        <item x="4"/>
        <item m="1" x="8"/>
        <item x="1"/>
        <item x="0"/>
        <item m="1" x="6"/>
        <item m="1" x="9"/>
        <item m="1" x="7"/>
        <item x="2"/>
        <item x="3"/>
        <item m="1" x="10"/>
        <item x="5"/>
        <item t="default"/>
      </items>
    </pivotField>
    <pivotField dataField="1" numFmtId="166" showAll="0"/>
  </pivotFields>
  <rowFields count="2">
    <field x="0"/>
    <field x="1"/>
  </rowFields>
  <rowItems count="13"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 t="grand">
      <x/>
    </i>
  </rowItems>
  <colItems count="1">
    <i/>
  </colItems>
  <dataFields count="1">
    <dataField name="Suma de Ventas" fld="3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11CE2-3449-40CE-95FB-11F1226AFEE7}" name="TablaDinámica3" cacheId="0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 chartFormat="1">
  <location ref="I1:N12" firstHeaderRow="1" firstDataRow="2" firstDataCol="2"/>
  <pivotFields count="4">
    <pivotField axis="axisRow" compact="0" showAll="0">
      <items count="7">
        <item m="1" x="4"/>
        <item m="1" x="3"/>
        <item m="1" x="5"/>
        <item x="1"/>
        <item x="2"/>
        <item x="0"/>
        <item t="default"/>
      </items>
    </pivotField>
    <pivotField axis="axisCol" compact="0" showAll="0">
      <items count="4">
        <item x="0"/>
        <item x="1"/>
        <item x="2"/>
        <item t="default"/>
      </items>
    </pivotField>
    <pivotField axis="axisRow" compact="0" multipleItemSelectionAllowed="1" showAll="0">
      <items count="13">
        <item m="1" x="11"/>
        <item m="1" x="8"/>
        <item m="1" x="6"/>
        <item m="1" x="9"/>
        <item m="1" x="7"/>
        <item m="1" x="10"/>
        <item x="1"/>
        <item x="5"/>
        <item x="3"/>
        <item x="2"/>
        <item x="4"/>
        <item x="0"/>
        <item t="default"/>
      </items>
    </pivotField>
    <pivotField dataField="1" compact="0" numFmtId="166" showAll="0"/>
  </pivotFields>
  <rowFields count="2">
    <field x="0"/>
    <field x="2"/>
  </rowFields>
  <rowItems count="10">
    <i>
      <x v="3"/>
    </i>
    <i r="1">
      <x v="6"/>
    </i>
    <i r="1">
      <x v="7"/>
    </i>
    <i>
      <x v="4"/>
    </i>
    <i r="1">
      <x v="8"/>
    </i>
    <i r="1">
      <x v="9"/>
    </i>
    <i>
      <x v="5"/>
    </i>
    <i r="1">
      <x v="10"/>
    </i>
    <i r="1">
      <x v="11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a de Ventas" fld="3" baseField="0" baseItem="0"/>
  </dataFields>
  <formats count="1">
    <format dxfId="961">
      <pivotArea type="all" dataOnly="0" outline="0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CB34C6-8105-4BED-8ECA-D16A8AD2BAEF}" name="TD.VENT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 chartFormat="1">
  <location ref="B1:E29" firstHeaderRow="1" firstDataRow="1" firstDataCol="3"/>
  <pivotFields count="4">
    <pivotField axis="axisRow" compact="0" showAll="0">
      <items count="7">
        <item m="1" x="4"/>
        <item m="1" x="3"/>
        <item m="1" x="5"/>
        <item x="1"/>
        <item x="2"/>
        <item x="0"/>
        <item t="default"/>
      </items>
    </pivotField>
    <pivotField axis="axisRow" compact="0" showAll="0">
      <items count="4">
        <item x="0"/>
        <item x="1"/>
        <item x="2"/>
        <item t="default"/>
      </items>
    </pivotField>
    <pivotField axis="axisRow" compact="0" showAll="0">
      <items count="13">
        <item m="1" x="11"/>
        <item m="1" x="8"/>
        <item m="1" x="6"/>
        <item m="1" x="9"/>
        <item m="1" x="7"/>
        <item m="1" x="10"/>
        <item x="1"/>
        <item x="5"/>
        <item x="3"/>
        <item x="2"/>
        <item x="4"/>
        <item x="0"/>
        <item t="default"/>
      </items>
    </pivotField>
    <pivotField dataField="1" compact="0" numFmtId="166" showAll="0"/>
  </pivotFields>
  <rowFields count="3">
    <field x="0"/>
    <field x="2"/>
    <field x="1"/>
  </rowFields>
  <rowItems count="28">
    <i>
      <x v="3"/>
    </i>
    <i r="1">
      <x v="6"/>
    </i>
    <i r="2">
      <x/>
    </i>
    <i r="2">
      <x v="1"/>
    </i>
    <i r="2">
      <x v="2"/>
    </i>
    <i r="1">
      <x v="7"/>
    </i>
    <i r="2">
      <x/>
    </i>
    <i r="2">
      <x v="1"/>
    </i>
    <i r="2">
      <x v="2"/>
    </i>
    <i>
      <x v="4"/>
    </i>
    <i r="1">
      <x v="8"/>
    </i>
    <i r="2">
      <x/>
    </i>
    <i r="2">
      <x v="1"/>
    </i>
    <i r="2">
      <x v="2"/>
    </i>
    <i r="1">
      <x v="9"/>
    </i>
    <i r="2">
      <x/>
    </i>
    <i r="2">
      <x v="1"/>
    </i>
    <i r="2">
      <x v="2"/>
    </i>
    <i>
      <x v="5"/>
    </i>
    <i r="1">
      <x v="10"/>
    </i>
    <i r="2">
      <x/>
    </i>
    <i r="2">
      <x v="1"/>
    </i>
    <i r="2">
      <x v="2"/>
    </i>
    <i r="1">
      <x v="11"/>
    </i>
    <i r="2">
      <x/>
    </i>
    <i r="2">
      <x v="1"/>
    </i>
    <i r="2">
      <x v="2"/>
    </i>
    <i t="grand">
      <x/>
    </i>
  </rowItems>
  <colItems count="1">
    <i/>
  </colItems>
  <dataFields count="1">
    <dataField name="Suma de Ventas" fld="3" baseField="0" baseItem="0"/>
  </dataFields>
  <formats count="41">
    <format dxfId="1002">
      <pivotArea dataOnly="0" fieldPosition="0">
        <references count="1">
          <reference field="1" count="1">
            <x v="0"/>
          </reference>
        </references>
      </pivotArea>
    </format>
    <format dxfId="1001">
      <pivotArea dataOnly="0" fieldPosition="0">
        <references count="1">
          <reference field="1" count="1">
            <x v="1"/>
          </reference>
        </references>
      </pivotArea>
    </format>
    <format dxfId="1000">
      <pivotArea dataOnly="0" fieldPosition="0">
        <references count="1">
          <reference field="2" count="1">
            <x v="7"/>
          </reference>
        </references>
      </pivotArea>
    </format>
    <format dxfId="999">
      <pivotArea dataOnly="0" labelOnly="1" outline="0" fieldPosition="0">
        <references count="3">
          <reference field="0" count="1" selected="0">
            <x v="3"/>
          </reference>
          <reference field="1" count="1">
            <x v="2"/>
          </reference>
          <reference field="2" count="1" selected="0">
            <x v="7"/>
          </reference>
        </references>
      </pivotArea>
    </format>
    <format dxfId="998">
      <pivotArea dataOnly="0" labelOnly="1" outline="0" fieldPosition="0">
        <references count="3">
          <reference field="0" count="1" selected="0">
            <x v="3"/>
          </reference>
          <reference field="1" count="1">
            <x v="2"/>
          </reference>
          <reference field="2" count="1" selected="0">
            <x v="6"/>
          </reference>
        </references>
      </pivotArea>
    </format>
    <format dxfId="997">
      <pivotArea dataOnly="0" labelOnly="1" outline="0" fieldPosition="0">
        <references count="3">
          <reference field="0" count="1" selected="0">
            <x v="4"/>
          </reference>
          <reference field="1" count="1">
            <x v="2"/>
          </reference>
          <reference field="2" count="1" selected="0">
            <x v="9"/>
          </reference>
        </references>
      </pivotArea>
    </format>
    <format dxfId="996">
      <pivotArea dataOnly="0" fieldPosition="0">
        <references count="1">
          <reference field="1" count="1">
            <x v="2"/>
          </reference>
        </references>
      </pivotArea>
    </format>
    <format dxfId="995">
      <pivotArea type="all" dataOnly="0" outline="0" fieldPosition="0"/>
    </format>
    <format dxfId="994">
      <pivotArea outline="0" collapsedLevelsAreSubtotals="1" fieldPosition="0"/>
    </format>
    <format dxfId="993">
      <pivotArea field="0" type="button" dataOnly="0" labelOnly="1" outline="0" axis="axisRow" fieldPosition="0"/>
    </format>
    <format dxfId="992">
      <pivotArea field="2" type="button" dataOnly="0" labelOnly="1" outline="0" axis="axisRow" fieldPosition="1"/>
    </format>
    <format dxfId="991">
      <pivotArea field="1" type="button" dataOnly="0" labelOnly="1" outline="0" axis="axisRow" fieldPosition="2"/>
    </format>
    <format dxfId="990">
      <pivotArea dataOnly="0" labelOnly="1" outline="0" fieldPosition="0">
        <references count="1">
          <reference field="0" count="0"/>
        </references>
      </pivotArea>
    </format>
    <format dxfId="989">
      <pivotArea dataOnly="0" labelOnly="1" grandRow="1" outline="0" fieldPosition="0"/>
    </format>
    <format dxfId="988">
      <pivotArea dataOnly="0" labelOnly="1" outline="0" fieldPosition="0">
        <references count="2">
          <reference field="0" count="1" selected="0">
            <x v="3"/>
          </reference>
          <reference field="2" count="2">
            <x v="6"/>
            <x v="7"/>
          </reference>
        </references>
      </pivotArea>
    </format>
    <format dxfId="987">
      <pivotArea dataOnly="0" labelOnly="1" outline="0" fieldPosition="0">
        <references count="2">
          <reference field="0" count="1" selected="0">
            <x v="4"/>
          </reference>
          <reference field="2" count="2">
            <x v="8"/>
            <x v="9"/>
          </reference>
        </references>
      </pivotArea>
    </format>
    <format dxfId="986">
      <pivotArea dataOnly="0" labelOnly="1" outline="0" fieldPosition="0">
        <references count="2">
          <reference field="0" count="1" selected="0">
            <x v="5"/>
          </reference>
          <reference field="2" count="1">
            <x v="10"/>
          </reference>
        </references>
      </pivotArea>
    </format>
    <format dxfId="985">
      <pivotArea dataOnly="0" labelOnly="1" outline="0" fieldPosition="0">
        <references count="3">
          <reference field="0" count="1" selected="0">
            <x v="3"/>
          </reference>
          <reference field="1" count="0"/>
          <reference field="2" count="1" selected="0">
            <x v="6"/>
          </reference>
        </references>
      </pivotArea>
    </format>
    <format dxfId="984">
      <pivotArea dataOnly="0" labelOnly="1" outline="0" fieldPosition="0">
        <references count="3">
          <reference field="0" count="1" selected="0">
            <x v="3"/>
          </reference>
          <reference field="1" count="0"/>
          <reference field="2" count="1" selected="0">
            <x v="7"/>
          </reference>
        </references>
      </pivotArea>
    </format>
    <format dxfId="983">
      <pivotArea dataOnly="0" labelOnly="1" outline="0" fieldPosition="0">
        <references count="3">
          <reference field="0" count="1" selected="0">
            <x v="4"/>
          </reference>
          <reference field="1" count="0"/>
          <reference field="2" count="1" selected="0">
            <x v="8"/>
          </reference>
        </references>
      </pivotArea>
    </format>
    <format dxfId="982">
      <pivotArea dataOnly="0" labelOnly="1" outline="0" fieldPosition="0">
        <references count="3">
          <reference field="0" count="1" selected="0">
            <x v="4"/>
          </reference>
          <reference field="1" count="0"/>
          <reference field="2" count="1" selected="0">
            <x v="9"/>
          </reference>
        </references>
      </pivotArea>
    </format>
    <format dxfId="981">
      <pivotArea dataOnly="0" labelOnly="1" outline="0" fieldPosition="0">
        <references count="3">
          <reference field="0" count="1" selected="0">
            <x v="5"/>
          </reference>
          <reference field="1" count="0"/>
          <reference field="2" count="1" selected="0">
            <x v="10"/>
          </reference>
        </references>
      </pivotArea>
    </format>
    <format dxfId="980">
      <pivotArea dataOnly="0" labelOnly="1" outline="0" axis="axisValues" fieldPosition="0"/>
    </format>
    <format dxfId="979">
      <pivotArea type="all" dataOnly="0" outline="0" fieldPosition="0"/>
    </format>
    <format dxfId="978">
      <pivotArea outline="0" collapsedLevelsAreSubtotals="1" fieldPosition="0"/>
    </format>
    <format dxfId="977">
      <pivotArea field="0" type="button" dataOnly="0" labelOnly="1" outline="0" axis="axisRow" fieldPosition="0"/>
    </format>
    <format dxfId="976">
      <pivotArea field="2" type="button" dataOnly="0" labelOnly="1" outline="0" axis="axisRow" fieldPosition="1"/>
    </format>
    <format dxfId="975">
      <pivotArea field="1" type="button" dataOnly="0" labelOnly="1" outline="0" axis="axisRow" fieldPosition="2"/>
    </format>
    <format dxfId="974">
      <pivotArea dataOnly="0" labelOnly="1" outline="0" fieldPosition="0">
        <references count="1">
          <reference field="0" count="0"/>
        </references>
      </pivotArea>
    </format>
    <format dxfId="973">
      <pivotArea dataOnly="0" labelOnly="1" grandRow="1" outline="0" fieldPosition="0"/>
    </format>
    <format dxfId="972">
      <pivotArea dataOnly="0" labelOnly="1" outline="0" fieldPosition="0">
        <references count="2">
          <reference field="0" count="1" selected="0">
            <x v="3"/>
          </reference>
          <reference field="2" count="2">
            <x v="6"/>
            <x v="7"/>
          </reference>
        </references>
      </pivotArea>
    </format>
    <format dxfId="971">
      <pivotArea dataOnly="0" labelOnly="1" outline="0" fieldPosition="0">
        <references count="2">
          <reference field="0" count="1" selected="0">
            <x v="4"/>
          </reference>
          <reference field="2" count="2">
            <x v="8"/>
            <x v="9"/>
          </reference>
        </references>
      </pivotArea>
    </format>
    <format dxfId="970">
      <pivotArea dataOnly="0" labelOnly="1" outline="0" fieldPosition="0">
        <references count="2">
          <reference field="0" count="1" selected="0">
            <x v="5"/>
          </reference>
          <reference field="2" count="2">
            <x v="10"/>
            <x v="11"/>
          </reference>
        </references>
      </pivotArea>
    </format>
    <format dxfId="969">
      <pivotArea dataOnly="0" labelOnly="1" outline="0" fieldPosition="0">
        <references count="3">
          <reference field="0" count="1" selected="0">
            <x v="3"/>
          </reference>
          <reference field="1" count="0"/>
          <reference field="2" count="1" selected="0">
            <x v="6"/>
          </reference>
        </references>
      </pivotArea>
    </format>
    <format dxfId="968">
      <pivotArea dataOnly="0" labelOnly="1" outline="0" fieldPosition="0">
        <references count="3">
          <reference field="0" count="1" selected="0">
            <x v="3"/>
          </reference>
          <reference field="1" count="0"/>
          <reference field="2" count="1" selected="0">
            <x v="7"/>
          </reference>
        </references>
      </pivotArea>
    </format>
    <format dxfId="967">
      <pivotArea dataOnly="0" labelOnly="1" outline="0" fieldPosition="0">
        <references count="3">
          <reference field="0" count="1" selected="0">
            <x v="4"/>
          </reference>
          <reference field="1" count="0"/>
          <reference field="2" count="1" selected="0">
            <x v="8"/>
          </reference>
        </references>
      </pivotArea>
    </format>
    <format dxfId="966">
      <pivotArea dataOnly="0" labelOnly="1" outline="0" fieldPosition="0">
        <references count="3">
          <reference field="0" count="1" selected="0">
            <x v="4"/>
          </reference>
          <reference field="1" count="0"/>
          <reference field="2" count="1" selected="0">
            <x v="9"/>
          </reference>
        </references>
      </pivotArea>
    </format>
    <format dxfId="965">
      <pivotArea dataOnly="0" labelOnly="1" outline="0" fieldPosition="0">
        <references count="3">
          <reference field="0" count="1" selected="0">
            <x v="5"/>
          </reference>
          <reference field="1" count="0"/>
          <reference field="2" count="1" selected="0">
            <x v="10"/>
          </reference>
        </references>
      </pivotArea>
    </format>
    <format dxfId="964">
      <pivotArea dataOnly="0" labelOnly="1" outline="0" fieldPosition="0">
        <references count="3">
          <reference field="0" count="1" selected="0">
            <x v="5"/>
          </reference>
          <reference field="1" count="0"/>
          <reference field="2" count="1" selected="0">
            <x v="11"/>
          </reference>
        </references>
      </pivotArea>
    </format>
    <format dxfId="963">
      <pivotArea dataOnly="0" labelOnly="1" outline="0" axis="axisValues" fieldPosition="0"/>
    </format>
    <format dxfId="96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26E2F7-FD57-47A6-B4B8-B70C77111BAA}" name="TD.Ventas_Producto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 rowHeaderCaption="Producto">
  <location ref="N13:O16" firstHeaderRow="1" firstDataRow="1" firstDataCol="1"/>
  <pivotFields count="4">
    <pivotField showAll="0">
      <items count="4">
        <item x="2"/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>
      <items count="7">
        <item x="4"/>
        <item x="1"/>
        <item x="0"/>
        <item x="2"/>
        <item x="3"/>
        <item x="5"/>
        <item t="default"/>
      </items>
    </pivotField>
    <pivotField dataField="1" numFmtId="166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 Ventas" fld="3" baseField="0" baseItem="0" numFmtId="167"/>
  </dataFields>
  <formats count="36">
    <format dxfId="73">
      <pivotArea type="all" dataOnly="0" outline="0" fieldPosition="0"/>
    </format>
    <format dxfId="74">
      <pivotArea outline="0" collapsedLevelsAreSubtotals="1" fieldPosition="0"/>
    </format>
    <format dxfId="75">
      <pivotArea field="1" type="button" dataOnly="0" labelOnly="1" outline="0" axis="axisRow" fieldPosition="0"/>
    </format>
    <format dxfId="76">
      <pivotArea dataOnly="0" labelOnly="1" fieldPosition="0">
        <references count="1">
          <reference field="1" count="0"/>
        </references>
      </pivotArea>
    </format>
    <format dxfId="77">
      <pivotArea dataOnly="0" labelOnly="1" grandRow="1" outline="0" fieldPosition="0"/>
    </format>
    <format dxfId="78">
      <pivotArea dataOnly="0" labelOnly="1" outline="0" axis="axisValues" fieldPosition="0"/>
    </format>
    <format dxfId="79">
      <pivotArea type="all" dataOnly="0" outline="0" fieldPosition="0"/>
    </format>
    <format dxfId="80">
      <pivotArea outline="0" collapsedLevelsAreSubtotals="1" fieldPosition="0"/>
    </format>
    <format dxfId="81">
      <pivotArea field="1" type="button" dataOnly="0" labelOnly="1" outline="0" axis="axisRow" fieldPosition="0"/>
    </format>
    <format dxfId="82">
      <pivotArea dataOnly="0" labelOnly="1" fieldPosition="0">
        <references count="1">
          <reference field="1" count="0"/>
        </references>
      </pivotArea>
    </format>
    <format dxfId="83">
      <pivotArea dataOnly="0" labelOnly="1" grandRow="1" outline="0" fieldPosition="0"/>
    </format>
    <format dxfId="84">
      <pivotArea dataOnly="0" labelOnly="1" outline="0" axis="axisValues" fieldPosition="0"/>
    </format>
    <format dxfId="85">
      <pivotArea type="all" dataOnly="0" outline="0" fieldPosition="0"/>
    </format>
    <format dxfId="86">
      <pivotArea outline="0" collapsedLevelsAreSubtotals="1" fieldPosition="0"/>
    </format>
    <format dxfId="87">
      <pivotArea field="1" type="button" dataOnly="0" labelOnly="1" outline="0" axis="axisRow" fieldPosition="0"/>
    </format>
    <format dxfId="88">
      <pivotArea dataOnly="0" labelOnly="1" fieldPosition="0">
        <references count="1">
          <reference field="1" count="0"/>
        </references>
      </pivotArea>
    </format>
    <format dxfId="89">
      <pivotArea dataOnly="0" labelOnly="1" grandRow="1" outline="0" fieldPosition="0"/>
    </format>
    <format dxfId="90">
      <pivotArea dataOnly="0" labelOnly="1" outline="0" axis="axisValues" fieldPosition="0"/>
    </format>
    <format dxfId="91">
      <pivotArea type="all" dataOnly="0" outline="0" fieldPosition="0"/>
    </format>
    <format dxfId="92">
      <pivotArea outline="0" collapsedLevelsAreSubtotals="1" fieldPosition="0"/>
    </format>
    <format dxfId="93">
      <pivotArea field="1" type="button" dataOnly="0" labelOnly="1" outline="0" axis="axisRow" fieldPosition="0"/>
    </format>
    <format dxfId="94">
      <pivotArea dataOnly="0" labelOnly="1" fieldPosition="0">
        <references count="1">
          <reference field="1" count="0"/>
        </references>
      </pivotArea>
    </format>
    <format dxfId="95">
      <pivotArea dataOnly="0" labelOnly="1" grandRow="1" outline="0" fieldPosition="0"/>
    </format>
    <format dxfId="96">
      <pivotArea dataOnly="0" labelOnly="1" outline="0" axis="axisValues" fieldPosition="0"/>
    </format>
    <format dxfId="97">
      <pivotArea type="all" dataOnly="0" outline="0" fieldPosition="0"/>
    </format>
    <format dxfId="98">
      <pivotArea outline="0" collapsedLevelsAreSubtotals="1" fieldPosition="0"/>
    </format>
    <format dxfId="99">
      <pivotArea dataOnly="0" labelOnly="1" fieldPosition="0">
        <references count="1">
          <reference field="1" count="0"/>
        </references>
      </pivotArea>
    </format>
    <format dxfId="100">
      <pivotArea dataOnly="0" labelOnly="1" grandRow="1" outline="0" fieldPosition="0"/>
    </format>
    <format dxfId="101">
      <pivotArea field="1" type="button" dataOnly="0" labelOnly="1" outline="0" axis="axisRow" fieldPosition="0"/>
    </format>
    <format dxfId="102">
      <pivotArea dataOnly="0" labelOnly="1" outline="0" axis="axisValues" fieldPosition="0"/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dxfId="104">
      <pivotArea type="all" dataOnly="0" outline="0" fieldPosition="0"/>
    </format>
    <format dxfId="105">
      <pivotArea outline="0" collapsedLevelsAreSubtotals="1" fieldPosition="0"/>
    </format>
    <format dxfId="106">
      <pivotArea field="1" type="button" dataOnly="0" labelOnly="1" outline="0" axis="axisRow" fieldPosition="0"/>
    </format>
    <format dxfId="107">
      <pivotArea dataOnly="0" labelOnly="1" fieldPosition="0">
        <references count="1">
          <reference field="1" count="0"/>
        </references>
      </pivotArea>
    </format>
    <format dxfId="10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7E364-799C-4CDC-9350-E7E8075AD657}" name="TD_Ventas_Region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egion">
  <location ref="N7:O10" firstHeaderRow="1" firstDataRow="1" firstDataCol="1"/>
  <pivotFields count="4">
    <pivotField axis="axisRow" showAll="0">
      <items count="4">
        <item x="2"/>
        <item x="0"/>
        <item x="1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7">
        <item x="4"/>
        <item x="1"/>
        <item x="0"/>
        <item x="2"/>
        <item x="3"/>
        <item x="5"/>
        <item t="default"/>
      </items>
    </pivotField>
    <pivotField dataField="1" numFmtId="166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 Ventas" fld="3" baseField="0" baseItem="0" numFmtId="167"/>
  </dataFields>
  <formats count="29">
    <format dxfId="109">
      <pivotArea type="all" dataOnly="0" outline="0" fieldPosition="0"/>
    </format>
    <format dxfId="110">
      <pivotArea outline="0" collapsedLevelsAreSubtotals="1" fieldPosition="0"/>
    </format>
    <format dxfId="111">
      <pivotArea field="0" type="button" dataOnly="0" labelOnly="1" outline="0" axis="axisRow" fieldPosition="0"/>
    </format>
    <format dxfId="112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  <format dxfId="114">
      <pivotArea dataOnly="0" labelOnly="1" outline="0" axis="axisValues" fieldPosition="0"/>
    </format>
    <format dxfId="115">
      <pivotArea type="all" dataOnly="0" outline="0" fieldPosition="0"/>
    </format>
    <format dxfId="116">
      <pivotArea outline="0" collapsedLevelsAreSubtotals="1" fieldPosition="0"/>
    </format>
    <format dxfId="117">
      <pivotArea field="0" type="button" dataOnly="0" labelOnly="1" outline="0" axis="axisRow" fieldPosition="0"/>
    </format>
    <format dxfId="118">
      <pivotArea dataOnly="0" labelOnly="1" fieldPosition="0">
        <references count="1">
          <reference field="0" count="0"/>
        </references>
      </pivotArea>
    </format>
    <format dxfId="119">
      <pivotArea dataOnly="0" labelOnly="1" grandRow="1" outline="0" fieldPosition="0"/>
    </format>
    <format dxfId="120">
      <pivotArea dataOnly="0" labelOnly="1" outline="0" axis="axisValues" fieldPosition="0"/>
    </format>
    <format dxfId="121">
      <pivotArea type="all" dataOnly="0" outline="0" fieldPosition="0"/>
    </format>
    <format dxfId="122">
      <pivotArea outline="0" collapsedLevelsAreSubtotals="1" fieldPosition="0"/>
    </format>
    <format dxfId="123">
      <pivotArea field="0" type="button" dataOnly="0" labelOnly="1" outline="0" axis="axisRow" fieldPosition="0"/>
    </format>
    <format dxfId="124">
      <pivotArea dataOnly="0" labelOnly="1" fieldPosition="0">
        <references count="1">
          <reference field="0" count="0"/>
        </references>
      </pivotArea>
    </format>
    <format dxfId="125">
      <pivotArea dataOnly="0" labelOnly="1" grandRow="1" outline="0" fieldPosition="0"/>
    </format>
    <format dxfId="126">
      <pivotArea dataOnly="0" labelOnly="1" outline="0" axis="axisValues" fieldPosition="0"/>
    </format>
    <format dxfId="127">
      <pivotArea type="all" dataOnly="0" outline="0" fieldPosition="0"/>
    </format>
    <format dxfId="128">
      <pivotArea outline="0" collapsedLevelsAreSubtotals="1" fieldPosition="0"/>
    </format>
    <format dxfId="129">
      <pivotArea dataOnly="0" labelOnly="1" fieldPosition="0">
        <references count="1">
          <reference field="0" count="0"/>
        </references>
      </pivotArea>
    </format>
    <format dxfId="130">
      <pivotArea dataOnly="0" labelOnly="1" grandRow="1" outline="0" fieldPosition="0"/>
    </format>
    <format dxfId="131">
      <pivotArea field="0" type="button" dataOnly="0" labelOnly="1" outline="0" axis="axisRow" fieldPosition="0"/>
    </format>
    <format dxfId="132">
      <pivotArea dataOnly="0" labelOnly="1" outline="0" axis="axisValues" fieldPosition="0"/>
    </format>
    <format dxfId="133">
      <pivotArea type="all" dataOnly="0" outline="0" fieldPosition="0"/>
    </format>
    <format dxfId="134">
      <pivotArea outline="0" collapsedLevelsAreSubtotals="1" fieldPosition="0"/>
    </format>
    <format dxfId="135">
      <pivotArea dataOnly="0" labelOnly="1" fieldPosition="0">
        <references count="1">
          <reference field="0" count="0"/>
        </references>
      </pivotArea>
    </format>
    <format dxfId="136">
      <pivotArea field="0" type="button" dataOnly="0" labelOnly="1" outline="0" axis="axisRow" fieldPosition="0"/>
    </format>
    <format dxfId="137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C5EDE-370F-4C4A-A95F-7F97EAAFA636}" name="TD_Ventas-Max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Region">
  <location ref="O29:O30" firstHeaderRow="1" firstDataRow="1" firstDataCol="0"/>
  <pivotFields count="4">
    <pivotField showAll="0">
      <items count="4">
        <item x="2"/>
        <item x="0"/>
        <item x="1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7">
        <item x="4"/>
        <item x="1"/>
        <item x="0"/>
        <item x="2"/>
        <item x="3"/>
        <item x="5"/>
        <item t="default"/>
      </items>
    </pivotField>
    <pivotField dataField="1" numFmtId="166" showAll="0"/>
  </pivotFields>
  <rowItems count="1">
    <i/>
  </rowItems>
  <colItems count="1">
    <i/>
  </colItems>
  <dataFields count="1">
    <dataField name="Máx. de Ventas" fld="3" subtotal="max" baseField="0" baseItem="9" numFmtId="167"/>
  </dataFields>
  <formats count="23">
    <format dxfId="50">
      <pivotArea type="all" dataOnly="0" outline="0" fieldPosition="0"/>
    </format>
    <format dxfId="51">
      <pivotArea outline="0" collapsedLevelsAreSubtotals="1" fieldPosition="0"/>
    </format>
    <format dxfId="52">
      <pivotArea field="0" type="button" dataOnly="0" labelOnly="1" outline="0"/>
    </format>
    <format dxfId="53">
      <pivotArea dataOnly="0" labelOnly="1" grandRow="1" outline="0" fieldPosition="0"/>
    </format>
    <format dxfId="54">
      <pivotArea dataOnly="0" labelOnly="1" outline="0" axis="axisValues" fieldPosition="0"/>
    </format>
    <format dxfId="55">
      <pivotArea type="all" dataOnly="0" outline="0" fieldPosition="0"/>
    </format>
    <format dxfId="56">
      <pivotArea outline="0" collapsedLevelsAreSubtotals="1" fieldPosition="0"/>
    </format>
    <format dxfId="57">
      <pivotArea field="0" type="button" dataOnly="0" labelOnly="1" outline="0"/>
    </format>
    <format dxfId="58">
      <pivotArea dataOnly="0" labelOnly="1" grandRow="1" outline="0" fieldPosition="0"/>
    </format>
    <format dxfId="59">
      <pivotArea dataOnly="0" labelOnly="1" outline="0" axis="axisValues" fieldPosition="0"/>
    </format>
    <format dxfId="60">
      <pivotArea type="all" dataOnly="0" outline="0" fieldPosition="0"/>
    </format>
    <format dxfId="61">
      <pivotArea outline="0" collapsedLevelsAreSubtotals="1" fieldPosition="0"/>
    </format>
    <format dxfId="62">
      <pivotArea field="0" type="button" dataOnly="0" labelOnly="1" outline="0"/>
    </format>
    <format dxfId="63">
      <pivotArea dataOnly="0" labelOnly="1" grandRow="1" outline="0" fieldPosition="0"/>
    </format>
    <format dxfId="64">
      <pivotArea dataOnly="0" labelOnly="1" outline="0" axis="axisValues" fieldPosition="0"/>
    </format>
    <format dxfId="65">
      <pivotArea type="all" dataOnly="0" outline="0" fieldPosition="0"/>
    </format>
    <format dxfId="66">
      <pivotArea outline="0" collapsedLevelsAreSubtotals="1" fieldPosition="0"/>
    </format>
    <format dxfId="67">
      <pivotArea field="0" type="button" dataOnly="0" labelOnly="1" outline="0"/>
    </format>
    <format dxfId="68">
      <pivotArea dataOnly="0" labelOnly="1" grandRow="1" outline="0" fieldPosition="0"/>
    </format>
    <format dxfId="69">
      <pivotArea dataOnly="0" labelOnly="1" outline="0" axis="axisValues" fieldPosition="0"/>
    </format>
    <format dxfId="70">
      <pivotArea type="all" dataOnly="0" outline="0" fieldPosition="0"/>
    </format>
    <format dxfId="71">
      <pivotArea outline="0" collapsedLevelsAreSubtotals="1" fieldPosition="0"/>
    </format>
    <format dxfId="72">
      <pivotArea dataOnly="0" labelOnly="1" outline="0" axis="axisValues" fieldPosition="0"/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D0065B-75B6-4492-85AC-CA3CE562E02D}" name="TD_Ventas_Total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Region">
  <location ref="N29:N30" firstHeaderRow="1" firstDataRow="1" firstDataCol="0"/>
  <pivotFields count="4">
    <pivotField showAll="0">
      <items count="4">
        <item x="2"/>
        <item x="0"/>
        <item x="1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7">
        <item x="4"/>
        <item x="1"/>
        <item x="0"/>
        <item x="2"/>
        <item x="3"/>
        <item x="5"/>
        <item t="default"/>
      </items>
    </pivotField>
    <pivotField dataField="1" numFmtId="166" showAll="0"/>
  </pivotFields>
  <rowItems count="1">
    <i/>
  </rowItems>
  <colItems count="1">
    <i/>
  </colItems>
  <dataFields count="1">
    <dataField name=" Ventas" fld="3" baseField="0" baseItem="0" numFmtId="167"/>
  </dataFields>
  <formats count="23">
    <format dxfId="27">
      <pivotArea type="all" dataOnly="0" outline="0" fieldPosition="0"/>
    </format>
    <format dxfId="28">
      <pivotArea outline="0" collapsedLevelsAreSubtotals="1" fieldPosition="0"/>
    </format>
    <format dxfId="29">
      <pivotArea field="0" type="button" dataOnly="0" labelOnly="1" outline="0"/>
    </format>
    <format dxfId="30">
      <pivotArea dataOnly="0" labelOnly="1" grandRow="1" outline="0" fieldPosition="0"/>
    </format>
    <format dxfId="31">
      <pivotArea dataOnly="0" labelOnly="1" outline="0" axis="axisValues" fieldPosition="0"/>
    </format>
    <format dxfId="32">
      <pivotArea type="all" dataOnly="0" outline="0" fieldPosition="0"/>
    </format>
    <format dxfId="33">
      <pivotArea outline="0" collapsedLevelsAreSubtotals="1" fieldPosition="0"/>
    </format>
    <format dxfId="34">
      <pivotArea field="0" type="button" dataOnly="0" labelOnly="1" outline="0"/>
    </format>
    <format dxfId="35">
      <pivotArea dataOnly="0" labelOnly="1" grandRow="1" outline="0" fieldPosition="0"/>
    </format>
    <format dxfId="36">
      <pivotArea dataOnly="0" labelOnly="1" outline="0" axis="axisValues" fieldPosition="0"/>
    </format>
    <format dxfId="37">
      <pivotArea type="all" dataOnly="0" outline="0" fieldPosition="0"/>
    </format>
    <format dxfId="38">
      <pivotArea outline="0" collapsedLevelsAreSubtotals="1" fieldPosition="0"/>
    </format>
    <format dxfId="39">
      <pivotArea field="0" type="button" dataOnly="0" labelOnly="1" outline="0"/>
    </format>
    <format dxfId="40">
      <pivotArea dataOnly="0" labelOnly="1" grandRow="1" outline="0" fieldPosition="0"/>
    </format>
    <format dxfId="41">
      <pivotArea type="all" dataOnly="0" outline="0" fieldPosition="0"/>
    </format>
    <format dxfId="42">
      <pivotArea outline="0" collapsedLevelsAreSubtotals="1" fieldPosition="0"/>
    </format>
    <format dxfId="43">
      <pivotArea field="0" type="button" dataOnly="0" labelOnly="1" outline="0"/>
    </format>
    <format dxfId="44">
      <pivotArea dataOnly="0" labelOnly="1" grandRow="1" outline="0" fieldPosition="0"/>
    </format>
    <format dxfId="45">
      <pivotArea dataOnly="0" labelOnly="1" outline="0" axis="axisValues" fieldPosition="0"/>
    </format>
    <format dxfId="46">
      <pivotArea dataOnly="0" labelOnly="1" outline="0" axis="axisValues" fieldPosition="0"/>
    </format>
    <format dxfId="47">
      <pivotArea type="all" dataOnly="0" outline="0" fieldPosition="0"/>
    </format>
    <format dxfId="48">
      <pivotArea outline="0" collapsedLevelsAreSubtotals="1" fieldPosition="0"/>
    </format>
    <format dxfId="49">
      <pivotArea dataOnly="0" labelOnly="1" outline="0" axis="axisValues" fieldPosition="0"/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2F190-0988-4B74-8A95-F9ED1D124CF7}" name="TD_Ventas_Vendedor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 rowHeaderCaption="Vendedor">
  <location ref="N19:O26" firstHeaderRow="1" firstDataRow="1" firstDataCol="1"/>
  <pivotFields count="4">
    <pivotField showAll="0">
      <items count="4">
        <item x="2"/>
        <item x="0"/>
        <item x="1"/>
        <item t="default"/>
      </items>
    </pivotField>
    <pivotField showAll="0">
      <items count="4">
        <item x="0"/>
        <item x="1"/>
        <item x="2"/>
        <item t="default"/>
      </items>
    </pivotField>
    <pivotField axis="axisRow" showAll="0">
      <items count="7">
        <item x="4"/>
        <item x="1"/>
        <item x="0"/>
        <item x="2"/>
        <item x="3"/>
        <item x="5"/>
        <item t="default"/>
      </items>
    </pivotField>
    <pivotField dataField="1" numFmtId="166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 Ventas" fld="3" baseField="0" baseItem="0" numFmtId="167"/>
  </dataFields>
  <formats count="27">
    <format dxfId="0">
      <pivotArea type="all" dataOnly="0" outline="0" fieldPosition="0"/>
    </format>
    <format dxfId="1">
      <pivotArea outline="0" collapsedLevelsAreSubtotals="1" fieldPosition="0"/>
    </format>
    <format dxfId="2">
      <pivotArea field="2" type="button" dataOnly="0" labelOnly="1" outline="0" axis="axisRow" fieldPosition="0"/>
    </format>
    <format dxfId="3">
      <pivotArea dataOnly="0" labelOnly="1" fieldPosition="0">
        <references count="1">
          <reference field="2" count="0"/>
        </references>
      </pivotArea>
    </format>
    <format dxfId="4">
      <pivotArea dataOnly="0" labelOnly="1" grandRow="1" outline="0" fieldPosition="0"/>
    </format>
    <format dxfId="5">
      <pivotArea dataOnly="0" labelOnly="1" outline="0" axis="axisValues" fieldPosition="0"/>
    </format>
    <format dxfId="6">
      <pivotArea type="all" dataOnly="0" outline="0" fieldPosition="0"/>
    </format>
    <format dxfId="7">
      <pivotArea outline="0" collapsedLevelsAreSubtotals="1" fieldPosition="0"/>
    </format>
    <format dxfId="8">
      <pivotArea field="2" type="button" dataOnly="0" labelOnly="1" outline="0" axis="axisRow" fieldPosition="0"/>
    </format>
    <format dxfId="9">
      <pivotArea dataOnly="0" labelOnly="1" fieldPosition="0">
        <references count="1">
          <reference field="2" count="0"/>
        </references>
      </pivotArea>
    </format>
    <format dxfId="10">
      <pivotArea dataOnly="0" labelOnly="1" grandRow="1" outline="0" fieldPosition="0"/>
    </format>
    <format dxfId="11">
      <pivotArea dataOnly="0" labelOnly="1" outline="0" axis="axisValues" fieldPosition="0"/>
    </format>
    <format dxfId="12">
      <pivotArea type="all" dataOnly="0" outline="0" fieldPosition="0"/>
    </format>
    <format dxfId="13">
      <pivotArea outline="0" collapsedLevelsAreSubtotals="1" fieldPosition="0"/>
    </format>
    <format dxfId="14">
      <pivotArea field="2" type="button" dataOnly="0" labelOnly="1" outline="0" axis="axisRow" fieldPosition="0"/>
    </format>
    <format dxfId="15">
      <pivotArea dataOnly="0" labelOnly="1" fieldPosition="0">
        <references count="1">
          <reference field="2" count="0"/>
        </references>
      </pivotArea>
    </format>
    <format dxfId="16">
      <pivotArea dataOnly="0" labelOnly="1" grandRow="1" outline="0" fieldPosition="0"/>
    </format>
    <format dxfId="17">
      <pivotArea dataOnly="0" labelOnly="1" outline="0" axis="axisValues" fieldPosition="0"/>
    </format>
    <format dxfId="18">
      <pivotArea field="2" type="button" dataOnly="0" labelOnly="1" outline="0" axis="axisRow" fieldPosition="0"/>
    </format>
    <format dxfId="19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  <format dxfId="21">
      <pivotArea type="all" dataOnly="0" outline="0" fieldPosition="0"/>
    </format>
    <format dxfId="22">
      <pivotArea outline="0" collapsedLevelsAreSubtotals="1" fieldPosition="0"/>
    </format>
    <format dxfId="23">
      <pivotArea field="2" type="button" dataOnly="0" labelOnly="1" outline="0" axis="axisRow" fieldPosition="0"/>
    </format>
    <format dxfId="24">
      <pivotArea dataOnly="0" labelOnly="1" fieldPosition="0">
        <references count="1">
          <reference field="2" count="0"/>
        </references>
      </pivotArea>
    </format>
    <format dxfId="25">
      <pivotArea dataOnly="0" labelOnly="1" grandRow="1" outline="0" fieldPosition="0"/>
    </format>
    <format dxfId="2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1" xr10:uid="{187B3421-C103-4CE9-BB45-9C6A4B53532D}" sourceName="Vendedor">
  <pivotTables>
    <pivotTable tabId="4" name="TD.VENTAS"/>
    <pivotTable tabId="1" name="TD.ventas2"/>
    <pivotTable tabId="4" name="TablaDinámica3"/>
  </pivotTables>
  <data>
    <tabular pivotCacheId="1604255644" showMissing="0">
      <items count="12">
        <i x="4" s="1"/>
        <i x="1" s="1"/>
        <i x="0" s="1"/>
        <i x="2" s="1"/>
        <i x="3" s="1"/>
        <i x="5" s="1"/>
        <i x="11" s="1" nd="1"/>
        <i x="8" s="1" nd="1"/>
        <i x="6" s="1" nd="1"/>
        <i x="9" s="1" nd="1"/>
        <i x="7" s="1" nd="1"/>
        <i x="1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1" xr10:uid="{B5CC8B71-0169-44B2-AF76-6CB196C6D85F}" sourceName="Region">
  <pivotTables>
    <pivotTable tabId="6" name="TD.Ventas_Producto"/>
    <pivotTable tabId="6" name="TD_Ventas_Total"/>
    <pivotTable tabId="6" name="TD_Ventas_Vendedor"/>
    <pivotTable tabId="6" name="TD_Ventas-Max"/>
  </pivotTables>
  <data>
    <tabular pivotCacheId="91577201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1" xr10:uid="{8E6C447E-34E4-460A-A0E3-6BEDAC6A718D}" sourceName="Producto">
  <pivotTables>
    <pivotTable tabId="6" name="TD_Ventas_Region"/>
    <pivotTable tabId="6" name="TD.Ventas_Producto"/>
    <pivotTable tabId="6" name="TD_Ventas_Total"/>
    <pivotTable tabId="6" name="TD_Ventas_Vendedor"/>
    <pivotTable tabId="6" name="TD_Ventas-Max"/>
  </pivotTables>
  <data>
    <tabular pivotCacheId="91577201">
      <items count="3">
        <i x="0" s="1"/>
        <i x="1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2" xr10:uid="{68B268BD-CA40-4223-92A3-BBC103229E47}" sourceName="Vendedor">
  <pivotTables>
    <pivotTable tabId="6" name="TD_Ventas_Region"/>
    <pivotTable tabId="6" name="TD.Ventas_Producto"/>
    <pivotTable tabId="6" name="TD_Ventas_Total"/>
    <pivotTable tabId="6" name="TD_Ventas_Vendedor"/>
    <pivotTable tabId="6" name="TD_Ventas-Max"/>
  </pivotTables>
  <data>
    <tabular pivotCacheId="91577201">
      <items count="6">
        <i x="4" s="1"/>
        <i x="1" s="1"/>
        <i x="0" s="1"/>
        <i x="2" s="1"/>
        <i x="3" s="1"/>
        <i x="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7B29D2A3-F1FB-4A23-B4A7-517C37197AA3}" sourceName="Region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" xr10:uid="{056BE568-A087-4339-A0EA-65A68610C5CF}" sourceName="Product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F41289AE-486F-4A13-9810-5ED2E6AC2770}" sourceName="Vendedor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2C259E7A-0D5D-4890-A785-925BA2B2937B}" cache="SegmentaciónDeDatos_Region" caption="Region" style="SlicerStyleDark6" rowHeight="241300"/>
  <slicer name="Producto" xr10:uid="{7CD29DE8-319A-4EBF-9CC2-BFA1425B66A9}" cache="SegmentaciónDeDatos_Producto" caption="Producto" style="SlicerStyleDark2" rowHeight="241300"/>
  <slicer name="Vendedor" xr10:uid="{6FA1F0C0-B9FF-4EFC-B314-E922DAC89054}" cache="SegmentaciónDeDatos_Vendedor" caption="Vendedor" style="SlicerStyleLight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 1" xr10:uid="{048202C0-1227-4F33-8DD7-A5EEEBD47ACF}" cache="SegmentaciónDeDatos_Vendedor1" caption="Vendedor" style="SlicerStyleLight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FFECFBAF-999E-497F-82AA-90AB03E99B9A}" cache="SegmentaciónDeDatos_Region1" caption="Region" style="SlicerStyleDark5" rowHeight="241300"/>
  <slicer name="Producto 1" xr10:uid="{6AA23BF3-A9CB-4196-9823-05F519C81510}" cache="SegmentaciónDeDatos_Producto1" caption="Producto" style="SlicerStyleDark4" rowHeight="241300"/>
  <slicer name="Vendedor 2" xr10:uid="{155731CC-D09D-4BF4-8090-4226D90C849E}" cache="SegmentaciónDeDatos_Vendedor2" caption="Vendedor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AB9385-4579-44D6-AFBB-9CA4576E7B48}" name="TablaVentas" displayName="TablaVentas" ref="D2:G21" totalsRowCount="1">
  <autoFilter ref="D2:G20" xr:uid="{A6AB9385-4579-44D6-AFBB-9CA4576E7B48}"/>
  <sortState xmlns:xlrd2="http://schemas.microsoft.com/office/spreadsheetml/2017/richdata2" ref="D3:G20">
    <sortCondition ref="G20"/>
  </sortState>
  <tableColumns count="4">
    <tableColumn id="1" xr3:uid="{C4B0FD31-08AF-476A-9D8A-D06206D505F1}" name="Region" totalsRowLabel="Total"/>
    <tableColumn id="2" xr3:uid="{83C65DCC-6848-4A4A-93FE-8E904915CB0A}" name="Producto"/>
    <tableColumn id="3" xr3:uid="{48A2F7FF-6FE7-4D2E-BC01-5B9EFBAC9DD7}" name="Vendedor"/>
    <tableColumn id="4" xr3:uid="{15B1E0D4-E8EC-47D3-9AD8-C8185A8FB3A5}" name="Ventas" totalsRowFunction="sum" dataDxfId="1004" totalsRowDxfId="1003"/>
  </tableColumns>
  <tableStyleInfo name="TableStyleMedium2" showFirstColumn="0" showLastColumn="1" showRowStripes="1" showColumnStripes="0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microsoft.com/office/2007/relationships/slicer" Target="../slicers/slicer2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microsoft.com/office/2007/relationships/slicer" Target="../slicers/slicer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D2:O25"/>
  <sheetViews>
    <sheetView zoomScale="115" zoomScaleNormal="115" workbookViewId="0">
      <selection activeCell="G24" sqref="G24"/>
    </sheetView>
  </sheetViews>
  <sheetFormatPr baseColWidth="10" defaultColWidth="9" defaultRowHeight="16.5" x14ac:dyDescent="0.3"/>
  <cols>
    <col min="2" max="3" width="12.375" customWidth="1"/>
    <col min="4" max="4" width="17.5" customWidth="1"/>
    <col min="5" max="5" width="16.375" customWidth="1"/>
    <col min="6" max="6" width="19.25" customWidth="1"/>
    <col min="7" max="7" width="24.75" style="3" customWidth="1"/>
    <col min="14" max="14" width="17.25" bestFit="1" customWidth="1"/>
    <col min="15" max="15" width="15.75" bestFit="1" customWidth="1"/>
    <col min="16" max="16" width="15" customWidth="1"/>
  </cols>
  <sheetData>
    <row r="2" spans="4:15" x14ac:dyDescent="0.3">
      <c r="D2" t="s">
        <v>0</v>
      </c>
      <c r="E2" t="s">
        <v>1</v>
      </c>
      <c r="F2" t="s">
        <v>2</v>
      </c>
      <c r="G2" s="3" t="s">
        <v>3</v>
      </c>
    </row>
    <row r="3" spans="4:15" x14ac:dyDescent="0.3">
      <c r="D3" t="s">
        <v>19</v>
      </c>
      <c r="E3" t="s">
        <v>4</v>
      </c>
      <c r="F3" t="s">
        <v>16</v>
      </c>
      <c r="G3" s="4">
        <v>5442</v>
      </c>
    </row>
    <row r="4" spans="4:15" x14ac:dyDescent="0.3">
      <c r="D4" t="s">
        <v>17</v>
      </c>
      <c r="E4" t="s">
        <v>4</v>
      </c>
      <c r="F4" t="s">
        <v>11</v>
      </c>
      <c r="G4" s="4">
        <v>8287</v>
      </c>
    </row>
    <row r="5" spans="4:15" x14ac:dyDescent="0.3">
      <c r="D5" t="s">
        <v>19</v>
      </c>
      <c r="E5" t="s">
        <v>5</v>
      </c>
      <c r="F5" t="s">
        <v>16</v>
      </c>
      <c r="G5" s="4">
        <v>8780</v>
      </c>
    </row>
    <row r="6" spans="4:15" x14ac:dyDescent="0.3">
      <c r="D6" t="s">
        <v>18</v>
      </c>
      <c r="E6" t="s">
        <v>5</v>
      </c>
      <c r="F6" t="s">
        <v>15</v>
      </c>
      <c r="G6" s="4">
        <v>9312</v>
      </c>
    </row>
    <row r="7" spans="4:15" x14ac:dyDescent="0.3">
      <c r="D7" t="s">
        <v>18</v>
      </c>
      <c r="E7" t="s">
        <v>4</v>
      </c>
      <c r="F7" t="s">
        <v>13</v>
      </c>
      <c r="G7" s="4">
        <v>9323</v>
      </c>
    </row>
    <row r="8" spans="4:15" x14ac:dyDescent="0.3">
      <c r="D8" t="s">
        <v>18</v>
      </c>
      <c r="E8" t="s">
        <v>5</v>
      </c>
      <c r="F8" t="s">
        <v>13</v>
      </c>
      <c r="G8" s="4">
        <v>10348</v>
      </c>
      <c r="N8" s="1" t="s">
        <v>10</v>
      </c>
      <c r="O8" t="s">
        <v>8</v>
      </c>
    </row>
    <row r="9" spans="4:15" x14ac:dyDescent="0.3">
      <c r="D9" t="s">
        <v>19</v>
      </c>
      <c r="E9" t="s">
        <v>5</v>
      </c>
      <c r="F9" t="s">
        <v>14</v>
      </c>
      <c r="G9" s="4">
        <v>10711</v>
      </c>
      <c r="N9" s="5" t="s">
        <v>17</v>
      </c>
      <c r="O9" s="7">
        <v>270295</v>
      </c>
    </row>
    <row r="10" spans="4:15" x14ac:dyDescent="0.3">
      <c r="D10" t="s">
        <v>17</v>
      </c>
      <c r="E10" t="s">
        <v>5</v>
      </c>
      <c r="F10" t="s">
        <v>12</v>
      </c>
      <c r="G10" s="4">
        <v>12948</v>
      </c>
      <c r="N10" s="6" t="s">
        <v>4</v>
      </c>
      <c r="O10" s="7">
        <v>85196</v>
      </c>
    </row>
    <row r="11" spans="4:15" x14ac:dyDescent="0.3">
      <c r="D11" t="s">
        <v>18</v>
      </c>
      <c r="E11" t="s">
        <v>6</v>
      </c>
      <c r="F11" t="s">
        <v>15</v>
      </c>
      <c r="G11" s="4">
        <v>13374</v>
      </c>
      <c r="N11" s="6" t="s">
        <v>5</v>
      </c>
      <c r="O11" s="7">
        <v>134368</v>
      </c>
    </row>
    <row r="12" spans="4:15" x14ac:dyDescent="0.3">
      <c r="D12" t="s">
        <v>18</v>
      </c>
      <c r="E12" t="s">
        <v>6</v>
      </c>
      <c r="F12" t="s">
        <v>13</v>
      </c>
      <c r="G12" s="4">
        <v>13531</v>
      </c>
      <c r="N12" s="6" t="s">
        <v>6</v>
      </c>
      <c r="O12" s="7">
        <v>50731</v>
      </c>
    </row>
    <row r="13" spans="4:15" x14ac:dyDescent="0.3">
      <c r="D13" t="s">
        <v>17</v>
      </c>
      <c r="E13" t="s">
        <v>6</v>
      </c>
      <c r="F13" t="s">
        <v>11</v>
      </c>
      <c r="G13" s="4">
        <v>20098</v>
      </c>
      <c r="N13" s="5" t="s">
        <v>18</v>
      </c>
      <c r="O13" s="7">
        <v>133555</v>
      </c>
    </row>
    <row r="14" spans="4:15" x14ac:dyDescent="0.3">
      <c r="D14" t="s">
        <v>19</v>
      </c>
      <c r="E14" t="s">
        <v>6</v>
      </c>
      <c r="F14" t="s">
        <v>16</v>
      </c>
      <c r="G14" s="4">
        <v>53151</v>
      </c>
      <c r="N14" s="6" t="s">
        <v>4</v>
      </c>
      <c r="O14" s="7">
        <v>86990</v>
      </c>
    </row>
    <row r="15" spans="4:15" x14ac:dyDescent="0.3">
      <c r="D15" t="s">
        <v>18</v>
      </c>
      <c r="E15" t="s">
        <v>4</v>
      </c>
      <c r="F15" t="s">
        <v>15</v>
      </c>
      <c r="G15" s="4">
        <v>77667</v>
      </c>
      <c r="N15" s="6" t="s">
        <v>5</v>
      </c>
      <c r="O15" s="7">
        <v>19660</v>
      </c>
    </row>
    <row r="16" spans="4:15" x14ac:dyDescent="0.3">
      <c r="D16" t="s">
        <v>17</v>
      </c>
      <c r="E16" t="s">
        <v>6</v>
      </c>
      <c r="F16" t="s">
        <v>12</v>
      </c>
      <c r="G16" s="4">
        <v>30633</v>
      </c>
      <c r="N16" s="6" t="s">
        <v>6</v>
      </c>
      <c r="O16" s="7">
        <v>26905</v>
      </c>
    </row>
    <row r="17" spans="4:15" x14ac:dyDescent="0.3">
      <c r="D17" t="s">
        <v>17</v>
      </c>
      <c r="E17" t="s">
        <v>4</v>
      </c>
      <c r="F17" t="s">
        <v>12</v>
      </c>
      <c r="G17" s="4">
        <v>76909</v>
      </c>
      <c r="N17" s="5" t="s">
        <v>19</v>
      </c>
      <c r="O17" s="7">
        <v>305683</v>
      </c>
    </row>
    <row r="18" spans="4:15" x14ac:dyDescent="0.3">
      <c r="D18" t="s">
        <v>19</v>
      </c>
      <c r="E18" t="s">
        <v>4</v>
      </c>
      <c r="F18" t="s">
        <v>14</v>
      </c>
      <c r="G18" s="4">
        <v>94744</v>
      </c>
      <c r="N18" s="6" t="s">
        <v>4</v>
      </c>
      <c r="O18" s="7">
        <v>100186</v>
      </c>
    </row>
    <row r="19" spans="4:15" x14ac:dyDescent="0.3">
      <c r="D19" t="s">
        <v>17</v>
      </c>
      <c r="E19" t="s">
        <v>5</v>
      </c>
      <c r="F19" t="s">
        <v>11</v>
      </c>
      <c r="G19" s="4">
        <v>121420</v>
      </c>
      <c r="N19" s="6" t="s">
        <v>5</v>
      </c>
      <c r="O19" s="7">
        <v>19491</v>
      </c>
    </row>
    <row r="20" spans="4:15" x14ac:dyDescent="0.3">
      <c r="D20" t="s">
        <v>19</v>
      </c>
      <c r="E20" t="s">
        <v>6</v>
      </c>
      <c r="F20" t="s">
        <v>14</v>
      </c>
      <c r="G20" s="4">
        <v>132855</v>
      </c>
      <c r="N20" s="6" t="s">
        <v>6</v>
      </c>
      <c r="O20" s="7">
        <v>186006</v>
      </c>
    </row>
    <row r="21" spans="4:15" x14ac:dyDescent="0.3">
      <c r="D21" t="s">
        <v>9</v>
      </c>
      <c r="G21" s="4">
        <f>SUBTOTAL(109,TablaVentas[Ventas])</f>
        <v>709533</v>
      </c>
      <c r="N21" s="5" t="s">
        <v>7</v>
      </c>
      <c r="O21" s="7">
        <v>709533</v>
      </c>
    </row>
    <row r="25" spans="4:15" x14ac:dyDescent="0.3">
      <c r="F25" s="2"/>
    </row>
  </sheetData>
  <conditionalFormatting sqref="B1:B1048576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G3:G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{296A67E6-ABE5-441B-924B-B49DF65FBC49}</x14:id>
        </ext>
      </extLst>
    </cfRule>
  </conditionalFormatting>
  <pageMargins left="0.7" right="0.7" top="0.75" bottom="0.75" header="0.3" footer="0.3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6A67E6-ABE5-441B-924B-B49DF65FBC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G3:G20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11DDB-CDF3-4454-B251-A20CEFD53454}">
  <sheetPr codeName="Hoja2"/>
  <dimension ref="B1:N29"/>
  <sheetViews>
    <sheetView topLeftCell="B1" zoomScaleNormal="100" workbookViewId="0">
      <selection activeCell="B1" sqref="B1:E29"/>
    </sheetView>
  </sheetViews>
  <sheetFormatPr baseColWidth="10" defaultRowHeight="16.5" x14ac:dyDescent="0.3"/>
  <cols>
    <col min="1" max="1" width="12.5" customWidth="1"/>
    <col min="2" max="2" width="18.375" customWidth="1"/>
    <col min="3" max="3" width="24.25" customWidth="1"/>
    <col min="4" max="4" width="11.75" bestFit="1" customWidth="1"/>
    <col min="5" max="5" width="17" bestFit="1" customWidth="1"/>
    <col min="6" max="6" width="24.375" customWidth="1"/>
    <col min="7" max="7" width="12.5" customWidth="1"/>
    <col min="8" max="8" width="12" customWidth="1"/>
    <col min="9" max="9" width="20.75" customWidth="1"/>
    <col min="10" max="10" width="23.125" bestFit="1" customWidth="1"/>
    <col min="11" max="13" width="14.375" bestFit="1" customWidth="1"/>
    <col min="14" max="14" width="16.375" bestFit="1" customWidth="1"/>
    <col min="15" max="15" width="23.5" customWidth="1"/>
    <col min="16" max="17" width="18.5" customWidth="1"/>
    <col min="18" max="18" width="20" customWidth="1"/>
    <col min="19" max="19" width="23.5" customWidth="1"/>
  </cols>
  <sheetData>
    <row r="1" spans="2:14" ht="18.75" x14ac:dyDescent="0.3">
      <c r="B1" s="8" t="s">
        <v>0</v>
      </c>
      <c r="C1" s="8" t="s">
        <v>2</v>
      </c>
      <c r="D1" s="8" t="s">
        <v>1</v>
      </c>
      <c r="E1" s="9" t="s">
        <v>8</v>
      </c>
      <c r="I1" s="10" t="s">
        <v>8</v>
      </c>
      <c r="J1" s="11"/>
      <c r="K1" s="10" t="s">
        <v>1</v>
      </c>
      <c r="L1" s="11"/>
      <c r="M1" s="11"/>
      <c r="N1" s="11"/>
    </row>
    <row r="2" spans="2:14" ht="18.75" x14ac:dyDescent="0.3">
      <c r="B2" s="9" t="s">
        <v>17</v>
      </c>
      <c r="C2" s="9"/>
      <c r="D2" s="9"/>
      <c r="E2" s="9">
        <v>270295</v>
      </c>
      <c r="I2" s="10" t="s">
        <v>0</v>
      </c>
      <c r="J2" s="10" t="s">
        <v>2</v>
      </c>
      <c r="K2" s="11" t="s">
        <v>4</v>
      </c>
      <c r="L2" s="11" t="s">
        <v>5</v>
      </c>
      <c r="M2" s="11" t="s">
        <v>6</v>
      </c>
      <c r="N2" s="11" t="s">
        <v>7</v>
      </c>
    </row>
    <row r="3" spans="2:14" ht="18.75" x14ac:dyDescent="0.3">
      <c r="B3" s="9"/>
      <c r="C3" s="9" t="s">
        <v>11</v>
      </c>
      <c r="D3" s="9"/>
      <c r="E3" s="9">
        <v>149805</v>
      </c>
      <c r="I3" s="11" t="s">
        <v>17</v>
      </c>
      <c r="J3" s="11"/>
      <c r="K3" s="11">
        <v>85196</v>
      </c>
      <c r="L3" s="11">
        <v>134368</v>
      </c>
      <c r="M3" s="11">
        <v>50731</v>
      </c>
      <c r="N3" s="11">
        <v>270295</v>
      </c>
    </row>
    <row r="4" spans="2:14" ht="18.75" x14ac:dyDescent="0.3">
      <c r="B4" s="9"/>
      <c r="C4" s="9"/>
      <c r="D4" s="13" t="s">
        <v>4</v>
      </c>
      <c r="E4" s="13">
        <v>8287</v>
      </c>
      <c r="I4" s="11"/>
      <c r="J4" s="11" t="s">
        <v>11</v>
      </c>
      <c r="K4" s="11">
        <v>8287</v>
      </c>
      <c r="L4" s="11">
        <v>121420</v>
      </c>
      <c r="M4" s="11">
        <v>20098</v>
      </c>
      <c r="N4" s="11">
        <v>149805</v>
      </c>
    </row>
    <row r="5" spans="2:14" ht="18.75" x14ac:dyDescent="0.3">
      <c r="B5" s="9"/>
      <c r="C5" s="9"/>
      <c r="D5" s="13" t="s">
        <v>5</v>
      </c>
      <c r="E5" s="13">
        <v>121420</v>
      </c>
      <c r="I5" s="11"/>
      <c r="J5" s="11" t="s">
        <v>12</v>
      </c>
      <c r="K5" s="11">
        <v>76909</v>
      </c>
      <c r="L5" s="11">
        <v>12948</v>
      </c>
      <c r="M5" s="11">
        <v>30633</v>
      </c>
      <c r="N5" s="11">
        <v>120490</v>
      </c>
    </row>
    <row r="6" spans="2:14" ht="18.75" x14ac:dyDescent="0.3">
      <c r="B6" s="9"/>
      <c r="C6" s="9"/>
      <c r="D6" s="13" t="s">
        <v>6</v>
      </c>
      <c r="E6" s="13">
        <v>20098</v>
      </c>
      <c r="I6" s="11" t="s">
        <v>18</v>
      </c>
      <c r="J6" s="11"/>
      <c r="K6" s="11">
        <v>86990</v>
      </c>
      <c r="L6" s="11">
        <v>19660</v>
      </c>
      <c r="M6" s="11">
        <v>26905</v>
      </c>
      <c r="N6" s="11">
        <v>133555</v>
      </c>
    </row>
    <row r="7" spans="2:14" ht="18.75" x14ac:dyDescent="0.3">
      <c r="B7" s="9"/>
      <c r="C7" s="13" t="s">
        <v>12</v>
      </c>
      <c r="D7" s="13"/>
      <c r="E7" s="13">
        <v>120490</v>
      </c>
      <c r="I7" s="11"/>
      <c r="J7" s="11" t="s">
        <v>13</v>
      </c>
      <c r="K7" s="11">
        <v>9323</v>
      </c>
      <c r="L7" s="11">
        <v>10348</v>
      </c>
      <c r="M7" s="11">
        <v>13531</v>
      </c>
      <c r="N7" s="11">
        <v>33202</v>
      </c>
    </row>
    <row r="8" spans="2:14" ht="18.75" x14ac:dyDescent="0.3">
      <c r="B8" s="9"/>
      <c r="C8" s="9"/>
      <c r="D8" s="13" t="s">
        <v>4</v>
      </c>
      <c r="E8" s="13">
        <v>76909</v>
      </c>
      <c r="I8" s="11"/>
      <c r="J8" s="11" t="s">
        <v>15</v>
      </c>
      <c r="K8" s="11">
        <v>77667</v>
      </c>
      <c r="L8" s="11">
        <v>9312</v>
      </c>
      <c r="M8" s="11">
        <v>13374</v>
      </c>
      <c r="N8" s="11">
        <v>100353</v>
      </c>
    </row>
    <row r="9" spans="2:14" ht="18.75" x14ac:dyDescent="0.3">
      <c r="B9" s="9"/>
      <c r="C9" s="9"/>
      <c r="D9" s="13" t="s">
        <v>5</v>
      </c>
      <c r="E9" s="13">
        <v>12948</v>
      </c>
      <c r="I9" s="11" t="s">
        <v>19</v>
      </c>
      <c r="J9" s="11"/>
      <c r="K9" s="11">
        <v>100186</v>
      </c>
      <c r="L9" s="11">
        <v>19491</v>
      </c>
      <c r="M9" s="11">
        <v>186006</v>
      </c>
      <c r="N9" s="11">
        <v>305683</v>
      </c>
    </row>
    <row r="10" spans="2:14" ht="18.75" x14ac:dyDescent="0.3">
      <c r="B10" s="9"/>
      <c r="C10" s="9"/>
      <c r="D10" s="13" t="s">
        <v>6</v>
      </c>
      <c r="E10" s="13">
        <v>30633</v>
      </c>
      <c r="I10" s="11"/>
      <c r="J10" s="11" t="s">
        <v>14</v>
      </c>
      <c r="K10" s="11">
        <v>94744</v>
      </c>
      <c r="L10" s="11">
        <v>10711</v>
      </c>
      <c r="M10" s="11">
        <v>132855</v>
      </c>
      <c r="N10" s="11">
        <v>238310</v>
      </c>
    </row>
    <row r="11" spans="2:14" ht="18.75" x14ac:dyDescent="0.3">
      <c r="B11" s="9" t="s">
        <v>18</v>
      </c>
      <c r="C11" s="9"/>
      <c r="D11" s="9"/>
      <c r="E11" s="9">
        <v>133555</v>
      </c>
      <c r="I11" s="11"/>
      <c r="J11" s="11" t="s">
        <v>16</v>
      </c>
      <c r="K11" s="11">
        <v>5442</v>
      </c>
      <c r="L11" s="11">
        <v>8780</v>
      </c>
      <c r="M11" s="11">
        <v>53151</v>
      </c>
      <c r="N11" s="11">
        <v>67373</v>
      </c>
    </row>
    <row r="12" spans="2:14" ht="18.75" x14ac:dyDescent="0.3">
      <c r="B12" s="9"/>
      <c r="C12" s="9" t="s">
        <v>13</v>
      </c>
      <c r="D12" s="9"/>
      <c r="E12" s="9">
        <v>33202</v>
      </c>
      <c r="I12" s="11" t="s">
        <v>7</v>
      </c>
      <c r="J12" s="11"/>
      <c r="K12" s="11">
        <v>272372</v>
      </c>
      <c r="L12" s="11">
        <v>173519</v>
      </c>
      <c r="M12" s="11">
        <v>263642</v>
      </c>
      <c r="N12" s="11">
        <v>709533</v>
      </c>
    </row>
    <row r="13" spans="2:14" ht="17.25" x14ac:dyDescent="0.3">
      <c r="B13" s="9"/>
      <c r="C13" s="9"/>
      <c r="D13" s="13" t="s">
        <v>4</v>
      </c>
      <c r="E13" s="13">
        <v>9323</v>
      </c>
    </row>
    <row r="14" spans="2:14" ht="17.25" x14ac:dyDescent="0.3">
      <c r="B14" s="9"/>
      <c r="C14" s="9"/>
      <c r="D14" s="13" t="s">
        <v>5</v>
      </c>
      <c r="E14" s="13">
        <v>10348</v>
      </c>
    </row>
    <row r="15" spans="2:14" ht="17.25" x14ac:dyDescent="0.3">
      <c r="B15" s="9"/>
      <c r="C15" s="9"/>
      <c r="D15" s="13" t="s">
        <v>6</v>
      </c>
      <c r="E15" s="13">
        <v>13531</v>
      </c>
    </row>
    <row r="16" spans="2:14" ht="17.25" x14ac:dyDescent="0.3">
      <c r="B16" s="9"/>
      <c r="C16" s="9" t="s">
        <v>15</v>
      </c>
      <c r="D16" s="9"/>
      <c r="E16" s="9">
        <v>100353</v>
      </c>
    </row>
    <row r="17" spans="2:6" ht="17.25" x14ac:dyDescent="0.3">
      <c r="B17" s="9"/>
      <c r="C17" s="9"/>
      <c r="D17" s="13" t="s">
        <v>4</v>
      </c>
      <c r="E17" s="13">
        <v>77667</v>
      </c>
    </row>
    <row r="18" spans="2:6" ht="17.25" x14ac:dyDescent="0.3">
      <c r="B18" s="9"/>
      <c r="C18" s="9"/>
      <c r="D18" s="13" t="s">
        <v>5</v>
      </c>
      <c r="E18" s="13">
        <v>9312</v>
      </c>
    </row>
    <row r="19" spans="2:6" ht="17.25" x14ac:dyDescent="0.3">
      <c r="B19" s="9"/>
      <c r="C19" s="9"/>
      <c r="D19" s="13" t="s">
        <v>6</v>
      </c>
      <c r="E19" s="13">
        <v>13374</v>
      </c>
    </row>
    <row r="20" spans="2:6" ht="17.25" x14ac:dyDescent="0.3">
      <c r="B20" s="9" t="s">
        <v>19</v>
      </c>
      <c r="C20" s="9"/>
      <c r="D20" s="9"/>
      <c r="E20" s="9">
        <v>305683</v>
      </c>
    </row>
    <row r="21" spans="2:6" ht="17.25" x14ac:dyDescent="0.3">
      <c r="B21" s="9"/>
      <c r="C21" s="9" t="s">
        <v>14</v>
      </c>
      <c r="D21" s="9"/>
      <c r="E21" s="9">
        <v>238310</v>
      </c>
    </row>
    <row r="22" spans="2:6" ht="20.25" x14ac:dyDescent="0.3">
      <c r="B22" s="9"/>
      <c r="C22" s="9"/>
      <c r="D22" s="13" t="s">
        <v>4</v>
      </c>
      <c r="E22" s="13">
        <v>94744</v>
      </c>
      <c r="F22" s="12"/>
    </row>
    <row r="23" spans="2:6" ht="17.25" x14ac:dyDescent="0.3">
      <c r="B23" s="9"/>
      <c r="C23" s="9"/>
      <c r="D23" s="13" t="s">
        <v>5</v>
      </c>
      <c r="E23" s="13">
        <v>10711</v>
      </c>
    </row>
    <row r="24" spans="2:6" ht="17.25" x14ac:dyDescent="0.3">
      <c r="B24" s="9"/>
      <c r="C24" s="9"/>
      <c r="D24" s="13" t="s">
        <v>6</v>
      </c>
      <c r="E24" s="13">
        <v>132855</v>
      </c>
    </row>
    <row r="25" spans="2:6" ht="17.25" x14ac:dyDescent="0.3">
      <c r="B25" s="9"/>
      <c r="C25" s="9" t="s">
        <v>16</v>
      </c>
      <c r="D25" s="9"/>
      <c r="E25" s="9">
        <v>67373</v>
      </c>
    </row>
    <row r="26" spans="2:6" ht="17.25" x14ac:dyDescent="0.3">
      <c r="B26" s="9"/>
      <c r="C26" s="9"/>
      <c r="D26" s="13" t="s">
        <v>4</v>
      </c>
      <c r="E26" s="13">
        <v>5442</v>
      </c>
    </row>
    <row r="27" spans="2:6" ht="17.25" x14ac:dyDescent="0.3">
      <c r="B27" s="9"/>
      <c r="C27" s="9"/>
      <c r="D27" s="13" t="s">
        <v>5</v>
      </c>
      <c r="E27" s="13">
        <v>8780</v>
      </c>
    </row>
    <row r="28" spans="2:6" ht="17.25" x14ac:dyDescent="0.3">
      <c r="B28" s="9"/>
      <c r="C28" s="9"/>
      <c r="D28" s="13" t="s">
        <v>6</v>
      </c>
      <c r="E28" s="13">
        <v>53151</v>
      </c>
    </row>
    <row r="29" spans="2:6" ht="17.25" x14ac:dyDescent="0.3">
      <c r="B29" s="9" t="s">
        <v>7</v>
      </c>
      <c r="C29" s="9"/>
      <c r="D29" s="9"/>
      <c r="E29" s="9">
        <v>709533</v>
      </c>
    </row>
  </sheetData>
  <pageMargins left="0.7" right="0.7" top="0.75" bottom="0.75" header="0.3" footer="0.3"/>
  <pageSetup paperSize="11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4CC4D-31E0-4E97-8DAD-1679F0AEE433}">
  <sheetPr codeName="Hoja3"/>
  <dimension ref="A1:P45"/>
  <sheetViews>
    <sheetView tabSelected="1" zoomScale="98" zoomScaleNormal="98" workbookViewId="0">
      <selection activeCell="L44" sqref="L44"/>
    </sheetView>
  </sheetViews>
  <sheetFormatPr baseColWidth="10" defaultRowHeight="16.5" x14ac:dyDescent="0.3"/>
  <cols>
    <col min="2" max="2" width="20.875" customWidth="1"/>
    <col min="3" max="3" width="8" customWidth="1"/>
    <col min="13" max="13" width="16.5" customWidth="1"/>
    <col min="14" max="14" width="19.75" bestFit="1" customWidth="1"/>
    <col min="15" max="15" width="19.25" bestFit="1" customWidth="1"/>
    <col min="16" max="21" width="10"/>
  </cols>
  <sheetData>
    <row r="1" spans="1:16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6.5" customHeight="1" x14ac:dyDescent="0.3">
      <c r="A2" s="19" t="s">
        <v>22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14"/>
    </row>
    <row r="3" spans="1:16" ht="16.5" customHeight="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14"/>
    </row>
    <row r="4" spans="1:16" ht="16.5" customHeight="1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14"/>
    </row>
    <row r="5" spans="1:16" ht="16.5" customHeight="1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</row>
    <row r="6" spans="1:16" ht="16.5" customHeight="1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</row>
    <row r="7" spans="1:16" ht="18.75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5" t="s">
        <v>0</v>
      </c>
      <c r="O7" s="15" t="s">
        <v>20</v>
      </c>
      <c r="P7" s="14"/>
    </row>
    <row r="8" spans="1:16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6" t="s">
        <v>18</v>
      </c>
      <c r="O8" s="17">
        <v>133555</v>
      </c>
      <c r="P8" s="14"/>
    </row>
    <row r="9" spans="1:16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6" t="s">
        <v>19</v>
      </c>
      <c r="O9" s="17">
        <v>305683</v>
      </c>
      <c r="P9" s="14"/>
    </row>
    <row r="10" spans="1:16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6" t="s">
        <v>17</v>
      </c>
      <c r="O10" s="17">
        <v>270295</v>
      </c>
      <c r="P10" s="14"/>
    </row>
    <row r="11" spans="1:16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</row>
    <row r="12" spans="1:16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8"/>
      <c r="O12" s="18"/>
      <c r="P12" s="14"/>
    </row>
    <row r="13" spans="1:16" ht="18.75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5" t="s">
        <v>1</v>
      </c>
      <c r="O13" s="15" t="s">
        <v>20</v>
      </c>
      <c r="P13" s="14"/>
    </row>
    <row r="14" spans="1:16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6" t="s">
        <v>4</v>
      </c>
      <c r="O14" s="17">
        <v>272372</v>
      </c>
      <c r="P14" s="14"/>
    </row>
    <row r="15" spans="1:16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6" t="s">
        <v>5</v>
      </c>
      <c r="O15" s="17">
        <v>173519</v>
      </c>
      <c r="P15" s="14"/>
    </row>
    <row r="16" spans="1:16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6" t="s">
        <v>6</v>
      </c>
      <c r="O16" s="17">
        <v>263642</v>
      </c>
      <c r="P16" s="14"/>
    </row>
    <row r="17" spans="1:16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</row>
    <row r="18" spans="1:16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8"/>
      <c r="O18" s="18"/>
      <c r="P18" s="14"/>
    </row>
    <row r="19" spans="1:16" ht="18.75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5" t="s">
        <v>2</v>
      </c>
      <c r="O19" s="15" t="s">
        <v>20</v>
      </c>
      <c r="P19" s="14"/>
    </row>
    <row r="20" spans="1:16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6" t="s">
        <v>14</v>
      </c>
      <c r="O20" s="17">
        <v>238310</v>
      </c>
      <c r="P20" s="14"/>
    </row>
    <row r="21" spans="1:16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6" t="s">
        <v>11</v>
      </c>
      <c r="O21" s="17">
        <v>149805</v>
      </c>
      <c r="P21" s="14"/>
    </row>
    <row r="22" spans="1:16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6" t="s">
        <v>16</v>
      </c>
      <c r="O22" s="17">
        <v>67373</v>
      </c>
      <c r="P22" s="14"/>
    </row>
    <row r="23" spans="1:16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6" t="s">
        <v>15</v>
      </c>
      <c r="O23" s="17">
        <v>100353</v>
      </c>
      <c r="P23" s="14"/>
    </row>
    <row r="24" spans="1:16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6" t="s">
        <v>13</v>
      </c>
      <c r="O24" s="17">
        <v>33202</v>
      </c>
      <c r="P24" s="14"/>
    </row>
    <row r="25" spans="1:16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6" t="s">
        <v>12</v>
      </c>
      <c r="O25" s="17">
        <v>120490</v>
      </c>
      <c r="P25" s="14"/>
    </row>
    <row r="26" spans="1:16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6" t="s">
        <v>7</v>
      </c>
      <c r="O26" s="17">
        <v>709533</v>
      </c>
      <c r="P26" s="14"/>
    </row>
    <row r="27" spans="1:16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</row>
    <row r="28" spans="1:16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</row>
    <row r="29" spans="1:16" ht="18.75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5" t="s">
        <v>20</v>
      </c>
      <c r="O29" s="15" t="s">
        <v>21</v>
      </c>
      <c r="P29" s="14"/>
    </row>
    <row r="30" spans="1:16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7">
        <v>709533</v>
      </c>
      <c r="O30" s="17">
        <v>132855</v>
      </c>
      <c r="P30" s="14"/>
    </row>
    <row r="31" spans="1:16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</row>
    <row r="32" spans="1:16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</row>
    <row r="33" spans="1:16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</row>
    <row r="34" spans="1:16" x14ac:dyDescent="0.3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</row>
    <row r="35" spans="1:16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</row>
    <row r="36" spans="1:16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</row>
    <row r="37" spans="1:16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</row>
    <row r="38" spans="1:16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</row>
    <row r="39" spans="1:16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</row>
    <row r="40" spans="1:16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</row>
    <row r="41" spans="1:16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</row>
    <row r="42" spans="1:16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</row>
    <row r="43" spans="1:16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</row>
    <row r="44" spans="1:16" x14ac:dyDescent="0.3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</row>
    <row r="45" spans="1:16" x14ac:dyDescent="0.3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</row>
  </sheetData>
  <mergeCells count="1">
    <mergeCell ref="A2:O4"/>
  </mergeCells>
  <pageMargins left="0.7" right="0.7" top="0.75" bottom="0.75" header="0.3" footer="0.3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Ventas_Datos</vt:lpstr>
      <vt:lpstr>TD_Ventas</vt:lpstr>
      <vt:lpstr>Informe_Vestas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JUANCITO PEÑA VIZCAINO</cp:lastModifiedBy>
  <dcterms:created xsi:type="dcterms:W3CDTF">2019-07-13T22:11:28Z</dcterms:created>
  <dcterms:modified xsi:type="dcterms:W3CDTF">2024-04-21T03:50:27Z</dcterms:modified>
</cp:coreProperties>
</file>